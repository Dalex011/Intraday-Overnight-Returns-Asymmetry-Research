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<sst xmlns="http://schemas.openxmlformats.org/spreadsheetml/2006/main" count="129" uniqueCount="87">
  <si>
    <t>Activo</t>
  </si>
  <si>
    <t>Sesión</t>
  </si>
  <si>
    <t>Media (Diaria)(%)</t>
  </si>
  <si>
    <t>Media (Anual)</t>
  </si>
  <si>
    <t>Std (%)</t>
  </si>
  <si>
    <t>Skewness</t>
  </si>
  <si>
    <t>Kurtosis</t>
  </si>
  <si>
    <t>Sharpe</t>
  </si>
  <si>
    <t>Alpha Jensen</t>
  </si>
  <si>
    <t>Appraisal Ratio</t>
  </si>
  <si>
    <t>MDD (%)</t>
  </si>
  <si>
    <t>Up Capture</t>
  </si>
  <si>
    <t>Down Capture</t>
  </si>
  <si>
    <t>Capture Ratio (Up/Down)</t>
  </si>
  <si>
    <t>Mercado</t>
  </si>
  <si>
    <t>SPY</t>
  </si>
  <si>
    <t>Intradía</t>
  </si>
  <si>
    <t>benchmark</t>
  </si>
  <si>
    <t>Rastrea el S&amp;P 500, representando el desempeño general de las 500 empresas más grandes de Estados Unidos.</t>
  </si>
  <si>
    <t>Overnight</t>
  </si>
  <si>
    <t>PORTAFOLIO EQUIPONDERADO</t>
  </si>
  <si>
    <t>Materiales</t>
  </si>
  <si>
    <t>XLB</t>
  </si>
  <si>
    <t>Empresas que extraen o procesan materias primas, como productos químicos, metales, minería y madera.</t>
  </si>
  <si>
    <t>Comunicaciones</t>
  </si>
  <si>
    <t>XLC</t>
  </si>
  <si>
    <t>Gigantes de internet, redes sociales, telecomunicaciones y medios de entretenimiento (como Meta y Alphabet).</t>
  </si>
  <si>
    <t>Energia</t>
  </si>
  <si>
    <t>XLE</t>
  </si>
  <si>
    <t>Compañías dedicadas a la exploración, producción, refinamiento y distribución de petróleo y gas natural.</t>
  </si>
  <si>
    <t>Finanzas</t>
  </si>
  <si>
    <t>XLF</t>
  </si>
  <si>
    <t>Bancos tradicionales, compañías de seguros, fondos de inversión y procesadores de pagos.</t>
  </si>
  <si>
    <t>Industria</t>
  </si>
  <si>
    <t>XLI</t>
  </si>
  <si>
    <t>Fabricantes de maquinaria pesada, aeroespacial, contratistas de defensa, transporte y logística.</t>
  </si>
  <si>
    <t>Tecnologia</t>
  </si>
  <si>
    <t>XLK</t>
  </si>
  <si>
    <t>Creadores de hardware, software y semiconductores que impulsan la infraestructura digital (como Apple y Microsoft).</t>
  </si>
  <si>
    <t>Basicos</t>
  </si>
  <si>
    <t>XLP</t>
  </si>
  <si>
    <t>Productores de bienes esenciales de demanda inelástica, como alimentos, bebidas y artículos de higiene personal.</t>
  </si>
  <si>
    <t>Inmobiliario</t>
  </si>
  <si>
    <t>XLRE</t>
  </si>
  <si>
    <t>Fideicomisos (REITs) que administran y operan propiedades comerciales, residenciales e infraestructura física.</t>
  </si>
  <si>
    <t>Servicios</t>
  </si>
  <si>
    <t>XLU</t>
  </si>
  <si>
    <t>Empresas de servicios públicos regulados que proveen electricidad, agua y gas (activos altamente defensivos).</t>
  </si>
  <si>
    <t>Salud</t>
  </si>
  <si>
    <t>XLV</t>
  </si>
  <si>
    <t>Farmacéuticas, empresas de biotecnología, fabricantes de equipos médicos y proveedores de seguros de salud.</t>
  </si>
  <si>
    <t>Discrecional</t>
  </si>
  <si>
    <t>XLY</t>
  </si>
  <si>
    <t>Bienes y servicios que los consumidores compran cuando la economía va bien (autos, lujo, restaurantes y Amazon).</t>
  </si>
  <si>
    <t>Av. Intraday</t>
  </si>
  <si>
    <t>Av. Overnight</t>
  </si>
  <si>
    <t>Delta</t>
  </si>
  <si>
    <t>Growth Data (Simplified)</t>
  </si>
  <si>
    <t>Fecha</t>
  </si>
  <si>
    <t>SPY (Intradía)</t>
  </si>
  <si>
    <t>XLB (Intradía)</t>
  </si>
  <si>
    <t>XLC (Intradía)</t>
  </si>
  <si>
    <t>XLE (Intradía)</t>
  </si>
  <si>
    <t>XLF (Intradía)</t>
  </si>
  <si>
    <t>XLI (Intradía)</t>
  </si>
  <si>
    <t>XLK (Intradía)</t>
  </si>
  <si>
    <t>XLP (Intradía)</t>
  </si>
  <si>
    <t>XLRE (Intradía)</t>
  </si>
  <si>
    <t>XLU (Intradía)</t>
  </si>
  <si>
    <t>XLV (Intradía)</t>
  </si>
  <si>
    <t>XLY (Intradía)</t>
  </si>
  <si>
    <t>PORTAFOLIO EQUIPONDERADO (Intradía)</t>
  </si>
  <si>
    <t>Returns</t>
  </si>
  <si>
    <t>SPY (Overnight)</t>
  </si>
  <si>
    <t>XLB (Overnight)</t>
  </si>
  <si>
    <t>XLC (Overnight)</t>
  </si>
  <si>
    <t>XLE (Overnight)</t>
  </si>
  <si>
    <t>XLF (Overnight)</t>
  </si>
  <si>
    <t>XLI (Overnight)</t>
  </si>
  <si>
    <t>XLK (Overnight)</t>
  </si>
  <si>
    <t>XLP (Overnight)</t>
  </si>
  <si>
    <t>XLRE (Overnight)</t>
  </si>
  <si>
    <t>XLU (Overnight)</t>
  </si>
  <si>
    <t>XLV (Overnight)</t>
  </si>
  <si>
    <t>XLY (Overnight)</t>
  </si>
  <si>
    <t>PORTAFOLIO EQUIPONDERADO (Overnight)</t>
  </si>
  <si>
    <t>Delta Growth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</si>
</sst>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000"/>
    <numFmt numFmtId="166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D7E6B"/>
        <bgColor rgb="FFDD7E6B"/>
      </patternFill>
    </fill>
    <fill>
      <patternFill patternType="solid">
        <fgColor rgb="FF00FF00"/>
        <bgColor rgb="FF00FF00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3" fillId="0" fontId="1" numFmtId="10" xfId="0" applyAlignment="1" applyBorder="1" applyFont="1" applyNumberFormat="1">
      <alignment readingOrder="0"/>
    </xf>
    <xf borderId="3" fillId="0" fontId="1" numFmtId="164" xfId="0" applyAlignment="1" applyBorder="1" applyFont="1" applyNumberFormat="1">
      <alignment readingOrder="0"/>
    </xf>
    <xf borderId="3" fillId="0" fontId="1" numFmtId="0" xfId="0" applyBorder="1" applyFont="1"/>
    <xf borderId="4" fillId="0" fontId="1" numFmtId="0" xfId="0" applyAlignment="1" applyBorder="1" applyFont="1">
      <alignment readingOrder="0"/>
    </xf>
    <xf borderId="0" fillId="0" fontId="1" numFmtId="0" xfId="0" applyAlignment="1" applyFont="1">
      <alignment readingOrder="0"/>
    </xf>
    <xf borderId="5" fillId="0" fontId="1" numFmtId="0" xfId="0" applyAlignment="1" applyBorder="1" applyFont="1">
      <alignment readingOrder="0"/>
    </xf>
    <xf borderId="6" fillId="0" fontId="1" numFmtId="0" xfId="0" applyAlignment="1" applyBorder="1" applyFont="1">
      <alignment readingOrder="0"/>
    </xf>
    <xf borderId="6" fillId="0" fontId="1" numFmtId="10" xfId="0" applyAlignment="1" applyBorder="1" applyFont="1" applyNumberFormat="1">
      <alignment readingOrder="0"/>
    </xf>
    <xf borderId="6" fillId="0" fontId="1" numFmtId="164" xfId="0" applyAlignment="1" applyBorder="1" applyFont="1" applyNumberFormat="1">
      <alignment readingOrder="0"/>
    </xf>
    <xf borderId="6" fillId="0" fontId="1" numFmtId="0" xfId="0" applyBorder="1" applyFont="1"/>
    <xf borderId="7" fillId="0" fontId="1" numFmtId="0" xfId="0" applyAlignment="1" applyBorder="1" applyFont="1">
      <alignment readingOrder="0"/>
    </xf>
    <xf borderId="8" fillId="0" fontId="1" numFmtId="0" xfId="0" applyAlignment="1" applyBorder="1" applyFont="1">
      <alignment readingOrder="0"/>
    </xf>
    <xf borderId="9" fillId="0" fontId="1" numFmtId="0" xfId="0" applyAlignment="1" applyBorder="1" applyFont="1">
      <alignment readingOrder="0"/>
    </xf>
    <xf borderId="10" fillId="0" fontId="1" numFmtId="0" xfId="0" applyAlignment="1" applyBorder="1" applyFont="1">
      <alignment readingOrder="0"/>
    </xf>
    <xf borderId="3" fillId="2" fontId="1" numFmtId="164" xfId="0" applyAlignment="1" applyBorder="1" applyFill="1" applyFont="1" applyNumberFormat="1">
      <alignment readingOrder="0"/>
    </xf>
    <xf borderId="6" fillId="3" fontId="1" numFmtId="164" xfId="0" applyAlignment="1" applyBorder="1" applyFill="1" applyFont="1" applyNumberFormat="1">
      <alignment readingOrder="0"/>
    </xf>
    <xf borderId="3" fillId="3" fontId="1" numFmtId="164" xfId="0" applyAlignment="1" applyBorder="1" applyFill="1" applyFont="1" applyNumberFormat="1">
      <alignment readingOrder="0"/>
    </xf>
    <xf borderId="6" fillId="2" fontId="1" numFmtId="164" xfId="0" applyAlignment="1" applyBorder="1" applyFill="1" applyFont="1" applyNumberFormat="1">
      <alignment readingOrder="0"/>
    </xf>
    <xf borderId="3" fillId="0" fontId="1" numFmtId="165" xfId="0" applyBorder="1" applyFont="1" applyNumberFormat="1"/>
    <xf borderId="3" fillId="0" fontId="1" numFmtId="164" xfId="0" applyBorder="1" applyFont="1" applyNumberFormat="1"/>
    <xf borderId="3" fillId="0" fontId="1" numFmtId="2" xfId="0" applyBorder="1" applyFont="1" applyNumberFormat="1"/>
    <xf borderId="11" fillId="0" fontId="1" numFmtId="0" xfId="0" applyAlignment="1" applyBorder="1" applyFont="1">
      <alignment readingOrder="0"/>
    </xf>
    <xf borderId="0" fillId="0" fontId="1" numFmtId="165" xfId="0" applyFont="1" applyNumberFormat="1"/>
    <xf borderId="0" fillId="0" fontId="1" numFmtId="164" xfId="0" applyFont="1" applyNumberFormat="1"/>
    <xf borderId="0" fillId="0" fontId="1" numFmtId="2" xfId="0" applyFont="1" applyNumberFormat="1"/>
    <xf borderId="6" fillId="0" fontId="1" numFmtId="165" xfId="0" applyBorder="1" applyFont="1" applyNumberFormat="1"/>
    <xf borderId="6" fillId="0" fontId="1" numFmtId="164" xfId="0" applyBorder="1" applyFont="1" applyNumberFormat="1"/>
    <xf borderId="0" fillId="0" fontId="1" numFmtId="166" xfId="0" applyAlignment="1" applyFont="1" applyNumberFormat="1">
      <alignment readingOrder="0"/>
    </xf>
    <xf borderId="0" fillId="0" fontId="1" numFmtId="10" xfId="0" applyFont="1" applyNumberFormat="1"/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SPY (Intradía), XLB (Intradía), XLC (Intradía), XLE (Intradía), XLF (Intradía)…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Sheet1!$B$43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Sheet1!$A$44:$A$67</c:f>
            </c:strRef>
          </c:cat>
          <c:val>
            <c:numRef>
              <c:f>Sheet1!$B$44:$B$67</c:f>
              <c:numCache/>
            </c:numRef>
          </c:val>
          <c:smooth val="0"/>
        </c:ser>
        <c:ser>
          <c:idx val="1"/>
          <c:order val="1"/>
          <c:tx>
            <c:strRef>
              <c:f>Sheet1!$C$43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Sheet1!$A$44:$A$67</c:f>
            </c:strRef>
          </c:cat>
          <c:val>
            <c:numRef>
              <c:f>Sheet1!$C$44:$C$67</c:f>
              <c:numCache/>
            </c:numRef>
          </c:val>
          <c:smooth val="0"/>
        </c:ser>
        <c:ser>
          <c:idx val="2"/>
          <c:order val="2"/>
          <c:tx>
            <c:strRef>
              <c:f>Sheet1!$D$43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Sheet1!$A$44:$A$67</c:f>
            </c:strRef>
          </c:cat>
          <c:val>
            <c:numRef>
              <c:f>Sheet1!$D$44:$D$67</c:f>
              <c:numCache/>
            </c:numRef>
          </c:val>
          <c:smooth val="0"/>
        </c:ser>
        <c:ser>
          <c:idx val="3"/>
          <c:order val="3"/>
          <c:tx>
            <c:strRef>
              <c:f>Sheet1!$E$43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Sheet1!$A$44:$A$67</c:f>
            </c:strRef>
          </c:cat>
          <c:val>
            <c:numRef>
              <c:f>Sheet1!$E$44:$E$67</c:f>
              <c:numCache/>
            </c:numRef>
          </c:val>
          <c:smooth val="0"/>
        </c:ser>
        <c:ser>
          <c:idx val="4"/>
          <c:order val="4"/>
          <c:tx>
            <c:strRef>
              <c:f>Sheet1!$F$43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Sheet1!$A$44:$A$67</c:f>
            </c:strRef>
          </c:cat>
          <c:val>
            <c:numRef>
              <c:f>Sheet1!$F$44:$F$67</c:f>
              <c:numCache/>
            </c:numRef>
          </c:val>
          <c:smooth val="0"/>
        </c:ser>
        <c:ser>
          <c:idx val="5"/>
          <c:order val="5"/>
          <c:tx>
            <c:strRef>
              <c:f>Sheet1!$G$43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Sheet1!$A$44:$A$67</c:f>
            </c:strRef>
          </c:cat>
          <c:val>
            <c:numRef>
              <c:f>Sheet1!$G$44:$G$67</c:f>
              <c:numCache/>
            </c:numRef>
          </c:val>
          <c:smooth val="0"/>
        </c:ser>
        <c:ser>
          <c:idx val="6"/>
          <c:order val="6"/>
          <c:tx>
            <c:strRef>
              <c:f>Sheet1!$H$43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Sheet1!$A$44:$A$67</c:f>
            </c:strRef>
          </c:cat>
          <c:val>
            <c:numRef>
              <c:f>Sheet1!$H$44:$H$67</c:f>
              <c:numCache/>
            </c:numRef>
          </c:val>
          <c:smooth val="0"/>
        </c:ser>
        <c:ser>
          <c:idx val="7"/>
          <c:order val="7"/>
          <c:tx>
            <c:strRef>
              <c:f>Sheet1!$I$43</c:f>
            </c:strRef>
          </c:tx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cat>
            <c:strRef>
              <c:f>Sheet1!$A$44:$A$67</c:f>
            </c:strRef>
          </c:cat>
          <c:val>
            <c:numRef>
              <c:f>Sheet1!$I$44:$I$67</c:f>
              <c:numCache/>
            </c:numRef>
          </c:val>
          <c:smooth val="0"/>
        </c:ser>
        <c:ser>
          <c:idx val="8"/>
          <c:order val="8"/>
          <c:tx>
            <c:strRef>
              <c:f>Sheet1!$J$43</c:f>
            </c:strRef>
          </c:tx>
          <c:spPr>
            <a:ln cmpd="sng">
              <a:solidFill>
                <a:srgbClr val="FCD04F"/>
              </a:solidFill>
            </a:ln>
          </c:spPr>
          <c:marker>
            <c:symbol val="none"/>
          </c:marker>
          <c:cat>
            <c:strRef>
              <c:f>Sheet1!$A$44:$A$67</c:f>
            </c:strRef>
          </c:cat>
          <c:val>
            <c:numRef>
              <c:f>Sheet1!$J$44:$J$67</c:f>
              <c:numCache/>
            </c:numRef>
          </c:val>
          <c:smooth val="0"/>
        </c:ser>
        <c:ser>
          <c:idx val="9"/>
          <c:order val="9"/>
          <c:tx>
            <c:strRef>
              <c:f>Sheet1!$K$43</c:f>
            </c:strRef>
          </c:tx>
          <c:spPr>
            <a:ln cmpd="sng">
              <a:solidFill>
                <a:srgbClr val="71C287"/>
              </a:solidFill>
            </a:ln>
          </c:spPr>
          <c:marker>
            <c:symbol val="none"/>
          </c:marker>
          <c:cat>
            <c:strRef>
              <c:f>Sheet1!$A$44:$A$67</c:f>
            </c:strRef>
          </c:cat>
          <c:val>
            <c:numRef>
              <c:f>Sheet1!$K$44:$K$67</c:f>
              <c:numCache/>
            </c:numRef>
          </c:val>
          <c:smooth val="0"/>
        </c:ser>
        <c:ser>
          <c:idx val="10"/>
          <c:order val="10"/>
          <c:tx>
            <c:strRef>
              <c:f>Sheet1!$L$43</c:f>
            </c:strRef>
          </c:tx>
          <c:spPr>
            <a:ln cmpd="sng">
              <a:solidFill>
                <a:srgbClr val="FF994D"/>
              </a:solidFill>
            </a:ln>
          </c:spPr>
          <c:marker>
            <c:symbol val="none"/>
          </c:marker>
          <c:cat>
            <c:strRef>
              <c:f>Sheet1!$A$44:$A$67</c:f>
            </c:strRef>
          </c:cat>
          <c:val>
            <c:numRef>
              <c:f>Sheet1!$L$44:$L$67</c:f>
              <c:numCache/>
            </c:numRef>
          </c:val>
          <c:smooth val="0"/>
        </c:ser>
        <c:ser>
          <c:idx val="11"/>
          <c:order val="11"/>
          <c:tx>
            <c:strRef>
              <c:f>Sheet1!$M$43</c:f>
            </c:strRef>
          </c:tx>
          <c:spPr>
            <a:ln cmpd="sng">
              <a:solidFill>
                <a:srgbClr val="7ED1D7"/>
              </a:solidFill>
            </a:ln>
          </c:spPr>
          <c:marker>
            <c:symbol val="none"/>
          </c:marker>
          <c:cat>
            <c:strRef>
              <c:f>Sheet1!$A$44:$A$67</c:f>
            </c:strRef>
          </c:cat>
          <c:val>
            <c:numRef>
              <c:f>Sheet1!$M$44:$M$67</c:f>
              <c:numCache/>
            </c:numRef>
          </c:val>
          <c:smooth val="0"/>
        </c:ser>
        <c:ser>
          <c:idx val="12"/>
          <c:order val="12"/>
          <c:tx>
            <c:strRef>
              <c:f>Sheet1!$N$43</c:f>
            </c:strRef>
          </c:tx>
          <c:spPr>
            <a:ln cmpd="sng">
              <a:solidFill>
                <a:srgbClr val="B3CEFB"/>
              </a:solidFill>
            </a:ln>
          </c:spPr>
          <c:marker>
            <c:symbol val="none"/>
          </c:marker>
          <c:cat>
            <c:strRef>
              <c:f>Sheet1!$A$44:$A$67</c:f>
            </c:strRef>
          </c:cat>
          <c:val>
            <c:numRef>
              <c:f>Sheet1!$N$44:$N$67</c:f>
              <c:numCache/>
            </c:numRef>
          </c:val>
          <c:smooth val="0"/>
        </c:ser>
        <c:axId val="1638863938"/>
        <c:axId val="296159762"/>
      </c:lineChart>
      <c:catAx>
        <c:axId val="16388639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Fecha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96159762"/>
      </c:catAx>
      <c:valAx>
        <c:axId val="29615976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88639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SPY (Overnight), XLB (Overnight), XLC (Overnight), XLE (Overnight), XLF (Overnight)…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Sheet1!$B$71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Sheet1!$A$72:$A$95</c:f>
            </c:strRef>
          </c:cat>
          <c:val>
            <c:numRef>
              <c:f>Sheet1!$B$72:$B$95</c:f>
              <c:numCache/>
            </c:numRef>
          </c:val>
          <c:smooth val="0"/>
        </c:ser>
        <c:ser>
          <c:idx val="1"/>
          <c:order val="1"/>
          <c:tx>
            <c:strRef>
              <c:f>Sheet1!$C$71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Sheet1!$A$72:$A$95</c:f>
            </c:strRef>
          </c:cat>
          <c:val>
            <c:numRef>
              <c:f>Sheet1!$C$72:$C$95</c:f>
              <c:numCache/>
            </c:numRef>
          </c:val>
          <c:smooth val="0"/>
        </c:ser>
        <c:ser>
          <c:idx val="2"/>
          <c:order val="2"/>
          <c:tx>
            <c:strRef>
              <c:f>Sheet1!$D$71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Sheet1!$A$72:$A$95</c:f>
            </c:strRef>
          </c:cat>
          <c:val>
            <c:numRef>
              <c:f>Sheet1!$D$72:$D$95</c:f>
              <c:numCache/>
            </c:numRef>
          </c:val>
          <c:smooth val="0"/>
        </c:ser>
        <c:ser>
          <c:idx val="3"/>
          <c:order val="3"/>
          <c:tx>
            <c:strRef>
              <c:f>Sheet1!$E$71</c:f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Sheet1!$A$72:$A$95</c:f>
            </c:strRef>
          </c:cat>
          <c:val>
            <c:numRef>
              <c:f>Sheet1!$E$72:$E$95</c:f>
              <c:numCache/>
            </c:numRef>
          </c:val>
          <c:smooth val="0"/>
        </c:ser>
        <c:ser>
          <c:idx val="4"/>
          <c:order val="4"/>
          <c:tx>
            <c:strRef>
              <c:f>Sheet1!$F$71</c:f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strRef>
              <c:f>Sheet1!$A$72:$A$95</c:f>
            </c:strRef>
          </c:cat>
          <c:val>
            <c:numRef>
              <c:f>Sheet1!$F$72:$F$95</c:f>
              <c:numCache/>
            </c:numRef>
          </c:val>
          <c:smooth val="0"/>
        </c:ser>
        <c:ser>
          <c:idx val="5"/>
          <c:order val="5"/>
          <c:tx>
            <c:strRef>
              <c:f>Sheet1!$G$71</c:f>
            </c:strRef>
          </c:tx>
          <c:spPr>
            <a:ln cmpd="sng">
              <a:solidFill>
                <a:srgbClr val="46BDC6"/>
              </a:solidFill>
            </a:ln>
          </c:spPr>
          <c:marker>
            <c:symbol val="none"/>
          </c:marker>
          <c:cat>
            <c:strRef>
              <c:f>Sheet1!$A$72:$A$95</c:f>
            </c:strRef>
          </c:cat>
          <c:val>
            <c:numRef>
              <c:f>Sheet1!$G$72:$G$95</c:f>
              <c:numCache/>
            </c:numRef>
          </c:val>
          <c:smooth val="0"/>
        </c:ser>
        <c:ser>
          <c:idx val="6"/>
          <c:order val="6"/>
          <c:tx>
            <c:strRef>
              <c:f>Sheet1!$H$71</c:f>
            </c:strRef>
          </c:tx>
          <c:spPr>
            <a:ln cmpd="sng">
              <a:solidFill>
                <a:srgbClr val="7BAAF7"/>
              </a:solidFill>
            </a:ln>
          </c:spPr>
          <c:marker>
            <c:symbol val="none"/>
          </c:marker>
          <c:cat>
            <c:strRef>
              <c:f>Sheet1!$A$72:$A$95</c:f>
            </c:strRef>
          </c:cat>
          <c:val>
            <c:numRef>
              <c:f>Sheet1!$H$72:$H$95</c:f>
              <c:numCache/>
            </c:numRef>
          </c:val>
          <c:smooth val="0"/>
        </c:ser>
        <c:ser>
          <c:idx val="7"/>
          <c:order val="7"/>
          <c:tx>
            <c:strRef>
              <c:f>Sheet1!$I$71</c:f>
            </c:strRef>
          </c:tx>
          <c:spPr>
            <a:ln cmpd="sng">
              <a:solidFill>
                <a:srgbClr val="F07B72"/>
              </a:solidFill>
            </a:ln>
          </c:spPr>
          <c:marker>
            <c:symbol val="none"/>
          </c:marker>
          <c:cat>
            <c:strRef>
              <c:f>Sheet1!$A$72:$A$95</c:f>
            </c:strRef>
          </c:cat>
          <c:val>
            <c:numRef>
              <c:f>Sheet1!$I$72:$I$95</c:f>
              <c:numCache/>
            </c:numRef>
          </c:val>
          <c:smooth val="0"/>
        </c:ser>
        <c:ser>
          <c:idx val="8"/>
          <c:order val="8"/>
          <c:tx>
            <c:strRef>
              <c:f>Sheet1!$J$71</c:f>
            </c:strRef>
          </c:tx>
          <c:spPr>
            <a:ln cmpd="sng">
              <a:solidFill>
                <a:srgbClr val="FCD04F"/>
              </a:solidFill>
            </a:ln>
          </c:spPr>
          <c:marker>
            <c:symbol val="none"/>
          </c:marker>
          <c:cat>
            <c:strRef>
              <c:f>Sheet1!$A$72:$A$95</c:f>
            </c:strRef>
          </c:cat>
          <c:val>
            <c:numRef>
              <c:f>Sheet1!$J$72:$J$95</c:f>
              <c:numCache/>
            </c:numRef>
          </c:val>
          <c:smooth val="0"/>
        </c:ser>
        <c:ser>
          <c:idx val="9"/>
          <c:order val="9"/>
          <c:tx>
            <c:strRef>
              <c:f>Sheet1!$K$71</c:f>
            </c:strRef>
          </c:tx>
          <c:spPr>
            <a:ln cmpd="sng">
              <a:solidFill>
                <a:srgbClr val="71C287"/>
              </a:solidFill>
            </a:ln>
          </c:spPr>
          <c:marker>
            <c:symbol val="none"/>
          </c:marker>
          <c:cat>
            <c:strRef>
              <c:f>Sheet1!$A$72:$A$95</c:f>
            </c:strRef>
          </c:cat>
          <c:val>
            <c:numRef>
              <c:f>Sheet1!$K$72:$K$95</c:f>
              <c:numCache/>
            </c:numRef>
          </c:val>
          <c:smooth val="0"/>
        </c:ser>
        <c:ser>
          <c:idx val="10"/>
          <c:order val="10"/>
          <c:tx>
            <c:strRef>
              <c:f>Sheet1!$L$71</c:f>
            </c:strRef>
          </c:tx>
          <c:spPr>
            <a:ln cmpd="sng">
              <a:solidFill>
                <a:srgbClr val="FF994D"/>
              </a:solidFill>
            </a:ln>
          </c:spPr>
          <c:marker>
            <c:symbol val="none"/>
          </c:marker>
          <c:cat>
            <c:strRef>
              <c:f>Sheet1!$A$72:$A$95</c:f>
            </c:strRef>
          </c:cat>
          <c:val>
            <c:numRef>
              <c:f>Sheet1!$L$72:$L$95</c:f>
              <c:numCache/>
            </c:numRef>
          </c:val>
          <c:smooth val="0"/>
        </c:ser>
        <c:ser>
          <c:idx val="11"/>
          <c:order val="11"/>
          <c:tx>
            <c:strRef>
              <c:f>Sheet1!$M$71</c:f>
            </c:strRef>
          </c:tx>
          <c:spPr>
            <a:ln cmpd="sng">
              <a:solidFill>
                <a:srgbClr val="7ED1D7"/>
              </a:solidFill>
            </a:ln>
          </c:spPr>
          <c:marker>
            <c:symbol val="none"/>
          </c:marker>
          <c:cat>
            <c:strRef>
              <c:f>Sheet1!$A$72:$A$95</c:f>
            </c:strRef>
          </c:cat>
          <c:val>
            <c:numRef>
              <c:f>Sheet1!$M$72:$M$95</c:f>
              <c:numCache/>
            </c:numRef>
          </c:val>
          <c:smooth val="0"/>
        </c:ser>
        <c:ser>
          <c:idx val="12"/>
          <c:order val="12"/>
          <c:tx>
            <c:strRef>
              <c:f>Sheet1!$N$71</c:f>
            </c:strRef>
          </c:tx>
          <c:spPr>
            <a:ln cmpd="sng">
              <a:solidFill>
                <a:srgbClr val="B3CEFB"/>
              </a:solidFill>
            </a:ln>
          </c:spPr>
          <c:marker>
            <c:symbol val="none"/>
          </c:marker>
          <c:cat>
            <c:strRef>
              <c:f>Sheet1!$A$72:$A$95</c:f>
            </c:strRef>
          </c:cat>
          <c:val>
            <c:numRef>
              <c:f>Sheet1!$N$72:$N$95</c:f>
              <c:numCache/>
            </c:numRef>
          </c:val>
          <c:smooth val="0"/>
        </c:ser>
        <c:axId val="316500873"/>
        <c:axId val="1891196829"/>
      </c:lineChart>
      <c:catAx>
        <c:axId val="3165008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Fecha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91196829"/>
      </c:catAx>
      <c:valAx>
        <c:axId val="189119682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1650087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16</xdr:col>
      <xdr:colOff>657225</xdr:colOff>
      <xdr:row>43</xdr:row>
      <xdr:rowOff>95250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16</xdr:col>
      <xdr:colOff>819150</xdr:colOff>
      <xdr:row>72</xdr:row>
      <xdr:rowOff>95250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18" max="18" width="14.25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>
      <c r="A2" s="2" t="s">
        <v>14</v>
      </c>
      <c r="B2" s="3" t="s">
        <v>15</v>
      </c>
      <c r="C2" s="3" t="s">
        <v>16</v>
      </c>
      <c r="D2" s="3">
        <v>0.0187</v>
      </c>
      <c r="E2" s="4">
        <f t="shared" ref="E2:E27" si="1">(D2*252)/100</f>
        <v>0.047124</v>
      </c>
      <c r="F2" s="3">
        <v>0.8559</v>
      </c>
      <c r="G2" s="3">
        <v>0.5569</v>
      </c>
      <c r="H2" s="3">
        <v>15.4518</v>
      </c>
      <c r="I2" s="3">
        <v>0.249</v>
      </c>
      <c r="J2" s="5">
        <v>0.0</v>
      </c>
      <c r="K2" s="3">
        <v>-30.493</v>
      </c>
      <c r="L2" s="6">
        <v>-0.2459</v>
      </c>
      <c r="M2" s="3">
        <v>1.0</v>
      </c>
      <c r="N2" s="3">
        <v>1.0</v>
      </c>
      <c r="O2" s="7">
        <v>1.0</v>
      </c>
      <c r="P2" s="8" t="s">
        <v>17</v>
      </c>
    </row>
    <row r="3">
      <c r="A3" s="9" t="s">
        <v>18</v>
      </c>
      <c r="B3" s="10" t="s">
        <v>15</v>
      </c>
      <c r="C3" s="10" t="s">
        <v>19</v>
      </c>
      <c r="D3" s="10">
        <v>0.0443</v>
      </c>
      <c r="E3" s="11">
        <f t="shared" si="1"/>
        <v>0.111636</v>
      </c>
      <c r="F3" s="10">
        <v>0.7268</v>
      </c>
      <c r="G3" s="10">
        <v>-1.9722</v>
      </c>
      <c r="H3" s="10">
        <v>33.0636</v>
      </c>
      <c r="I3" s="10">
        <v>0.659</v>
      </c>
      <c r="J3" s="12">
        <v>0.0</v>
      </c>
      <c r="K3" s="10">
        <v>-0.428</v>
      </c>
      <c r="L3" s="13">
        <v>-0.29410000000000003</v>
      </c>
      <c r="M3" s="10">
        <v>1.0</v>
      </c>
      <c r="N3" s="10">
        <v>1.0</v>
      </c>
      <c r="O3" s="14">
        <v>1.0</v>
      </c>
      <c r="P3" s="8" t="s">
        <v>17</v>
      </c>
    </row>
    <row r="4">
      <c r="B4" s="15" t="s">
        <v>20</v>
      </c>
      <c r="C4" s="3" t="s">
        <v>16</v>
      </c>
      <c r="D4" s="3">
        <v>0.014</v>
      </c>
      <c r="E4" s="4">
        <f t="shared" si="1"/>
        <v>0.03528</v>
      </c>
      <c r="F4" s="3">
        <v>0.775</v>
      </c>
      <c r="G4" s="3">
        <v>0.3746</v>
      </c>
      <c r="H4" s="3">
        <v>12.0832</v>
      </c>
      <c r="I4" s="3">
        <v>0.179</v>
      </c>
      <c r="J4" s="5">
        <v>-0.0072</v>
      </c>
      <c r="K4" s="3">
        <v>-0.197</v>
      </c>
      <c r="L4" s="6">
        <v>-0.2155</v>
      </c>
      <c r="M4" s="3">
        <v>0.84</v>
      </c>
      <c r="N4" s="3">
        <v>0.84</v>
      </c>
      <c r="O4" s="7">
        <v>0.99</v>
      </c>
    </row>
    <row r="5">
      <c r="B5" s="16" t="s">
        <v>20</v>
      </c>
      <c r="C5" s="10" t="s">
        <v>19</v>
      </c>
      <c r="D5" s="10">
        <v>0.0392</v>
      </c>
      <c r="E5" s="11">
        <f t="shared" si="1"/>
        <v>0.098784</v>
      </c>
      <c r="F5" s="10">
        <v>0.6902</v>
      </c>
      <c r="G5" s="10">
        <v>-3.0233</v>
      </c>
      <c r="H5" s="10">
        <v>60.2997</v>
      </c>
      <c r="I5" s="10">
        <v>0.576</v>
      </c>
      <c r="J5" s="12">
        <v>-0.007</v>
      </c>
      <c r="K5" s="10">
        <v>-0.266</v>
      </c>
      <c r="L5" s="13">
        <v>-0.311</v>
      </c>
      <c r="M5" s="10">
        <v>0.86</v>
      </c>
      <c r="N5" s="10">
        <v>0.86</v>
      </c>
      <c r="O5" s="14">
        <v>1.01</v>
      </c>
    </row>
    <row r="6">
      <c r="A6" s="2" t="s">
        <v>21</v>
      </c>
      <c r="B6" s="3" t="s">
        <v>22</v>
      </c>
      <c r="C6" s="3" t="s">
        <v>16</v>
      </c>
      <c r="D6" s="3">
        <v>0.0143</v>
      </c>
      <c r="E6" s="4">
        <f t="shared" si="1"/>
        <v>0.036036</v>
      </c>
      <c r="F6" s="3">
        <v>1.008</v>
      </c>
      <c r="G6" s="3">
        <v>0.667</v>
      </c>
      <c r="H6" s="3">
        <v>8.7163</v>
      </c>
      <c r="I6" s="3">
        <v>0.142</v>
      </c>
      <c r="J6" s="5">
        <v>-0.0069</v>
      </c>
      <c r="K6" s="3">
        <v>-0.065</v>
      </c>
      <c r="L6" s="6">
        <v>-0.3002</v>
      </c>
      <c r="M6" s="3">
        <v>0.83</v>
      </c>
      <c r="N6" s="3">
        <v>0.84</v>
      </c>
      <c r="O6" s="7">
        <v>0.99</v>
      </c>
    </row>
    <row r="7">
      <c r="A7" s="17" t="s">
        <v>23</v>
      </c>
      <c r="B7" s="10" t="s">
        <v>22</v>
      </c>
      <c r="C7" s="10" t="s">
        <v>19</v>
      </c>
      <c r="D7" s="10">
        <v>0.0333</v>
      </c>
      <c r="E7" s="11">
        <f t="shared" si="1"/>
        <v>0.083916</v>
      </c>
      <c r="F7" s="10">
        <v>0.8614</v>
      </c>
      <c r="G7" s="10">
        <v>-4.5983</v>
      </c>
      <c r="H7" s="10">
        <v>102.9953</v>
      </c>
      <c r="I7" s="10">
        <v>0.353</v>
      </c>
      <c r="J7" s="12">
        <v>-0.0308</v>
      </c>
      <c r="K7" s="10">
        <v>-0.473</v>
      </c>
      <c r="L7" s="13">
        <v>-0.3804</v>
      </c>
      <c r="M7" s="10">
        <v>0.95</v>
      </c>
      <c r="N7" s="10">
        <v>0.99</v>
      </c>
      <c r="O7" s="14">
        <v>0.96</v>
      </c>
    </row>
    <row r="8">
      <c r="A8" s="2" t="s">
        <v>24</v>
      </c>
      <c r="B8" s="3" t="s">
        <v>25</v>
      </c>
      <c r="C8" s="3" t="s">
        <v>16</v>
      </c>
      <c r="D8" s="3">
        <v>0.0175</v>
      </c>
      <c r="E8" s="4">
        <f t="shared" si="1"/>
        <v>0.0441</v>
      </c>
      <c r="F8" s="3">
        <v>0.9711</v>
      </c>
      <c r="G8" s="3">
        <v>0.2602</v>
      </c>
      <c r="H8" s="3">
        <v>7.0559</v>
      </c>
      <c r="I8" s="3">
        <v>0.2</v>
      </c>
      <c r="J8" s="5">
        <v>-1.0E-4</v>
      </c>
      <c r="K8" s="3">
        <v>-0.002</v>
      </c>
      <c r="L8" s="6">
        <v>-0.3031</v>
      </c>
      <c r="M8" s="3">
        <v>0.92</v>
      </c>
      <c r="N8" s="3">
        <v>0.92</v>
      </c>
      <c r="O8" s="7">
        <v>1.0</v>
      </c>
    </row>
    <row r="9">
      <c r="A9" s="17" t="s">
        <v>26</v>
      </c>
      <c r="B9" s="10" t="s">
        <v>25</v>
      </c>
      <c r="C9" s="10" t="s">
        <v>19</v>
      </c>
      <c r="D9" s="10">
        <v>0.0269</v>
      </c>
      <c r="E9" s="11">
        <f t="shared" si="1"/>
        <v>0.067788</v>
      </c>
      <c r="F9" s="10">
        <v>0.8285</v>
      </c>
      <c r="G9" s="10">
        <v>-2.5565</v>
      </c>
      <c r="H9" s="10">
        <v>46.6905</v>
      </c>
      <c r="I9" s="10">
        <v>0.244</v>
      </c>
      <c r="J9" s="12">
        <v>-0.0408</v>
      </c>
      <c r="K9" s="10">
        <v>-0.575</v>
      </c>
      <c r="L9" s="13">
        <v>-0.3657</v>
      </c>
      <c r="M9" s="10">
        <v>0.86</v>
      </c>
      <c r="N9" s="10">
        <v>0.92</v>
      </c>
      <c r="O9" s="14">
        <v>0.94</v>
      </c>
    </row>
    <row r="10">
      <c r="A10" s="2" t="s">
        <v>27</v>
      </c>
      <c r="B10" s="3" t="s">
        <v>28</v>
      </c>
      <c r="C10" s="3" t="s">
        <v>16</v>
      </c>
      <c r="D10" s="3">
        <v>-0.015</v>
      </c>
      <c r="E10" s="4">
        <f t="shared" si="1"/>
        <v>-0.0378</v>
      </c>
      <c r="F10" s="3">
        <v>1.3846</v>
      </c>
      <c r="G10" s="3">
        <v>0.0784</v>
      </c>
      <c r="H10" s="3">
        <v>3.7207</v>
      </c>
      <c r="I10" s="3">
        <v>-0.232</v>
      </c>
      <c r="J10" s="18">
        <v>-0.0775</v>
      </c>
      <c r="K10" s="3">
        <v>-0.403</v>
      </c>
      <c r="L10" s="6">
        <v>-0.7182</v>
      </c>
      <c r="M10" s="3">
        <v>0.67</v>
      </c>
      <c r="N10" s="3">
        <v>0.77</v>
      </c>
      <c r="O10" s="7">
        <v>0.87</v>
      </c>
    </row>
    <row r="11">
      <c r="A11" s="17" t="s">
        <v>29</v>
      </c>
      <c r="B11" s="10" t="s">
        <v>28</v>
      </c>
      <c r="C11" s="10" t="s">
        <v>19</v>
      </c>
      <c r="D11" s="10">
        <v>0.0748</v>
      </c>
      <c r="E11" s="11">
        <f t="shared" si="1"/>
        <v>0.188496</v>
      </c>
      <c r="F11" s="10">
        <v>1.2015</v>
      </c>
      <c r="G11" s="10">
        <v>-1.3903</v>
      </c>
      <c r="H11" s="10">
        <v>32.9273</v>
      </c>
      <c r="I11" s="10">
        <v>0.802</v>
      </c>
      <c r="J11" s="19">
        <v>0.0754</v>
      </c>
      <c r="K11" s="10">
        <v>0.502</v>
      </c>
      <c r="L11" s="13">
        <v>-0.3768</v>
      </c>
      <c r="M11" s="10">
        <v>0.89</v>
      </c>
      <c r="N11" s="10">
        <v>0.71</v>
      </c>
      <c r="O11" s="14">
        <v>1.25</v>
      </c>
    </row>
    <row r="12">
      <c r="A12" s="2" t="s">
        <v>30</v>
      </c>
      <c r="B12" s="3" t="s">
        <v>31</v>
      </c>
      <c r="C12" s="3" t="s">
        <v>16</v>
      </c>
      <c r="D12" s="3">
        <v>0.0167</v>
      </c>
      <c r="E12" s="4">
        <f t="shared" si="1"/>
        <v>0.042084</v>
      </c>
      <c r="F12" s="3">
        <v>1.0099</v>
      </c>
      <c r="G12" s="3">
        <v>0.3254</v>
      </c>
      <c r="H12" s="3">
        <v>6.2229</v>
      </c>
      <c r="I12" s="3">
        <v>0.18</v>
      </c>
      <c r="J12" s="5">
        <v>-0.002</v>
      </c>
      <c r="K12" s="3">
        <v>-0.019</v>
      </c>
      <c r="L12" s="6">
        <v>-0.3265</v>
      </c>
      <c r="M12" s="3">
        <v>0.89</v>
      </c>
      <c r="N12" s="3">
        <v>0.89</v>
      </c>
      <c r="O12" s="7">
        <v>1.0</v>
      </c>
    </row>
    <row r="13">
      <c r="A13" s="17" t="s">
        <v>32</v>
      </c>
      <c r="B13" s="10" t="s">
        <v>31</v>
      </c>
      <c r="C13" s="10" t="s">
        <v>19</v>
      </c>
      <c r="D13" s="10">
        <v>0.0432</v>
      </c>
      <c r="E13" s="11">
        <f t="shared" si="1"/>
        <v>0.108864</v>
      </c>
      <c r="F13" s="10">
        <v>0.9524</v>
      </c>
      <c r="G13" s="10">
        <v>-2.1062</v>
      </c>
      <c r="H13" s="10">
        <v>47.7109</v>
      </c>
      <c r="I13" s="10">
        <v>0.485</v>
      </c>
      <c r="J13" s="12">
        <v>-0.0136</v>
      </c>
      <c r="K13" s="10">
        <v>-0.185</v>
      </c>
      <c r="L13" s="13">
        <v>-0.4559</v>
      </c>
      <c r="M13" s="10">
        <v>1.05</v>
      </c>
      <c r="N13" s="10">
        <v>1.07</v>
      </c>
      <c r="O13" s="14">
        <v>0.98</v>
      </c>
    </row>
    <row r="14">
      <c r="A14" s="2" t="s">
        <v>33</v>
      </c>
      <c r="B14" s="3" t="s">
        <v>34</v>
      </c>
      <c r="C14" s="3" t="s">
        <v>16</v>
      </c>
      <c r="D14" s="3">
        <v>0.0078</v>
      </c>
      <c r="E14" s="4">
        <f t="shared" si="1"/>
        <v>0.019656</v>
      </c>
      <c r="F14" s="3">
        <v>0.9484</v>
      </c>
      <c r="G14" s="3">
        <v>0.2887</v>
      </c>
      <c r="H14" s="3">
        <v>7.9152</v>
      </c>
      <c r="I14" s="3">
        <v>0.043</v>
      </c>
      <c r="J14" s="5">
        <v>-0.0247</v>
      </c>
      <c r="K14" s="3">
        <v>-0.297</v>
      </c>
      <c r="L14" s="6">
        <v>-0.289</v>
      </c>
      <c r="M14" s="3">
        <v>0.89</v>
      </c>
      <c r="N14" s="3">
        <v>0.92</v>
      </c>
      <c r="O14" s="7">
        <v>0.97</v>
      </c>
    </row>
    <row r="15">
      <c r="A15" s="17" t="s">
        <v>35</v>
      </c>
      <c r="B15" s="10" t="s">
        <v>34</v>
      </c>
      <c r="C15" s="10" t="s">
        <v>19</v>
      </c>
      <c r="D15" s="10">
        <v>0.05</v>
      </c>
      <c r="E15" s="11">
        <f t="shared" si="1"/>
        <v>0.126</v>
      </c>
      <c r="F15" s="10">
        <v>0.8053</v>
      </c>
      <c r="G15" s="10">
        <v>-1.5085</v>
      </c>
      <c r="H15" s="10">
        <v>30.6328</v>
      </c>
      <c r="I15" s="10">
        <v>0.706</v>
      </c>
      <c r="J15" s="12">
        <v>0.0122</v>
      </c>
      <c r="K15" s="10">
        <v>0.255</v>
      </c>
      <c r="L15" s="13">
        <v>-0.33990000000000004</v>
      </c>
      <c r="M15" s="10">
        <v>1.02</v>
      </c>
      <c r="N15" s="10">
        <v>1.0</v>
      </c>
      <c r="O15" s="14">
        <v>1.02</v>
      </c>
    </row>
    <row r="16">
      <c r="A16" s="2" t="s">
        <v>36</v>
      </c>
      <c r="B16" s="3" t="s">
        <v>37</v>
      </c>
      <c r="C16" s="3" t="s">
        <v>16</v>
      </c>
      <c r="D16" s="3">
        <v>0.0427</v>
      </c>
      <c r="E16" s="4">
        <f t="shared" si="1"/>
        <v>0.107604</v>
      </c>
      <c r="F16" s="3">
        <v>1.2126</v>
      </c>
      <c r="G16" s="3">
        <v>0.2947</v>
      </c>
      <c r="H16" s="3">
        <v>7.9606</v>
      </c>
      <c r="I16" s="3">
        <v>0.491</v>
      </c>
      <c r="J16" s="20">
        <v>0.0509</v>
      </c>
      <c r="K16" s="3">
        <v>0.636</v>
      </c>
      <c r="L16" s="6">
        <v>-0.2357</v>
      </c>
      <c r="M16" s="3">
        <v>1.37</v>
      </c>
      <c r="N16" s="3">
        <v>1.31</v>
      </c>
      <c r="O16" s="7">
        <v>1.05</v>
      </c>
    </row>
    <row r="17">
      <c r="A17" s="17" t="s">
        <v>38</v>
      </c>
      <c r="B17" s="10" t="s">
        <v>37</v>
      </c>
      <c r="C17" s="10" t="s">
        <v>19</v>
      </c>
      <c r="D17" s="10">
        <v>0.0552</v>
      </c>
      <c r="E17" s="11">
        <f t="shared" si="1"/>
        <v>0.139104</v>
      </c>
      <c r="F17" s="10">
        <v>0.9985</v>
      </c>
      <c r="G17" s="10">
        <v>-1.84</v>
      </c>
      <c r="H17" s="10">
        <v>26.6977</v>
      </c>
      <c r="I17" s="10">
        <v>0.654</v>
      </c>
      <c r="J17" s="12">
        <v>0.0069</v>
      </c>
      <c r="K17" s="10">
        <v>0.116</v>
      </c>
      <c r="L17" s="13">
        <v>-0.35729999999999995</v>
      </c>
      <c r="M17" s="10">
        <v>1.34</v>
      </c>
      <c r="N17" s="10">
        <v>1.36</v>
      </c>
      <c r="O17" s="14">
        <v>0.98</v>
      </c>
    </row>
    <row r="18">
      <c r="A18" s="2" t="s">
        <v>39</v>
      </c>
      <c r="B18" s="3" t="s">
        <v>40</v>
      </c>
      <c r="C18" s="3" t="s">
        <v>16</v>
      </c>
      <c r="D18" s="3">
        <v>0.0218</v>
      </c>
      <c r="E18" s="4">
        <f t="shared" si="1"/>
        <v>0.054936</v>
      </c>
      <c r="F18" s="3">
        <v>0.7763</v>
      </c>
      <c r="G18" s="3">
        <v>-0.1135</v>
      </c>
      <c r="H18" s="3">
        <v>7.8203</v>
      </c>
      <c r="I18" s="3">
        <v>0.338</v>
      </c>
      <c r="J18" s="5">
        <v>0.0235</v>
      </c>
      <c r="K18" s="3">
        <v>0.237</v>
      </c>
      <c r="L18" s="6">
        <v>-0.1612</v>
      </c>
      <c r="M18" s="3">
        <v>0.51</v>
      </c>
      <c r="N18" s="3">
        <v>0.46</v>
      </c>
      <c r="O18" s="7">
        <v>1.1</v>
      </c>
    </row>
    <row r="19">
      <c r="A19" s="17" t="s">
        <v>41</v>
      </c>
      <c r="B19" s="10" t="s">
        <v>40</v>
      </c>
      <c r="C19" s="10" t="s">
        <v>19</v>
      </c>
      <c r="D19" s="10">
        <v>0.0113</v>
      </c>
      <c r="E19" s="11">
        <f t="shared" si="1"/>
        <v>0.028476</v>
      </c>
      <c r="F19" s="10">
        <v>0.5146</v>
      </c>
      <c r="G19" s="10">
        <v>-3.341</v>
      </c>
      <c r="H19" s="10">
        <v>66.294</v>
      </c>
      <c r="I19" s="10">
        <v>-0.087</v>
      </c>
      <c r="J19" s="21">
        <v>-0.0457</v>
      </c>
      <c r="K19" s="10">
        <v>-0.802</v>
      </c>
      <c r="L19" s="13">
        <v>-0.2594</v>
      </c>
      <c r="M19" s="10">
        <v>0.38</v>
      </c>
      <c r="N19" s="10">
        <v>0.4</v>
      </c>
      <c r="O19" s="14">
        <v>0.93</v>
      </c>
    </row>
    <row r="20">
      <c r="A20" s="2" t="s">
        <v>42</v>
      </c>
      <c r="B20" s="3" t="s">
        <v>43</v>
      </c>
      <c r="C20" s="3" t="s">
        <v>16</v>
      </c>
      <c r="D20" s="3">
        <v>-0.0021</v>
      </c>
      <c r="E20" s="4">
        <f t="shared" si="1"/>
        <v>-0.005292</v>
      </c>
      <c r="F20" s="3">
        <v>1.0402</v>
      </c>
      <c r="G20" s="3">
        <v>-0.0795</v>
      </c>
      <c r="H20" s="3">
        <v>5.0943</v>
      </c>
      <c r="I20" s="3">
        <v>-0.113</v>
      </c>
      <c r="J20" s="5">
        <v>-0.044</v>
      </c>
      <c r="K20" s="3">
        <v>-0.339</v>
      </c>
      <c r="L20" s="6">
        <v>-0.4366</v>
      </c>
      <c r="M20" s="3">
        <v>0.67</v>
      </c>
      <c r="N20" s="3">
        <v>0.73</v>
      </c>
      <c r="O20" s="7">
        <v>0.92</v>
      </c>
    </row>
    <row r="21">
      <c r="A21" s="17" t="s">
        <v>44</v>
      </c>
      <c r="B21" s="10" t="s">
        <v>43</v>
      </c>
      <c r="C21" s="10" t="s">
        <v>19</v>
      </c>
      <c r="D21" s="10">
        <v>0.035</v>
      </c>
      <c r="E21" s="11">
        <f t="shared" si="1"/>
        <v>0.0882</v>
      </c>
      <c r="F21" s="10">
        <v>0.6716</v>
      </c>
      <c r="G21" s="10">
        <v>-1.5734</v>
      </c>
      <c r="H21" s="10">
        <v>33.9019</v>
      </c>
      <c r="I21" s="10">
        <v>0.493</v>
      </c>
      <c r="J21" s="12">
        <v>-0.0041</v>
      </c>
      <c r="K21" s="10">
        <v>-0.065</v>
      </c>
      <c r="L21" s="13">
        <v>-0.2829</v>
      </c>
      <c r="M21" s="10">
        <v>0.68</v>
      </c>
      <c r="N21" s="10">
        <v>0.65</v>
      </c>
      <c r="O21" s="14">
        <v>1.04</v>
      </c>
    </row>
    <row r="22">
      <c r="A22" s="2" t="s">
        <v>45</v>
      </c>
      <c r="B22" s="3" t="s">
        <v>46</v>
      </c>
      <c r="C22" s="3" t="s">
        <v>16</v>
      </c>
      <c r="D22" s="3">
        <v>0.0075</v>
      </c>
      <c r="E22" s="4">
        <f t="shared" si="1"/>
        <v>0.0189</v>
      </c>
      <c r="F22" s="3">
        <v>1.0331</v>
      </c>
      <c r="G22" s="3">
        <v>0.0614</v>
      </c>
      <c r="H22" s="3">
        <v>8.7907</v>
      </c>
      <c r="I22" s="3">
        <v>0.034</v>
      </c>
      <c r="J22" s="5">
        <v>-0.0126</v>
      </c>
      <c r="K22" s="3">
        <v>-0.086</v>
      </c>
      <c r="L22" s="6">
        <v>-0.35700000000000004</v>
      </c>
      <c r="M22" s="3">
        <v>0.45</v>
      </c>
      <c r="N22" s="3">
        <v>0.46</v>
      </c>
      <c r="O22" s="7">
        <v>0.99</v>
      </c>
    </row>
    <row r="23">
      <c r="A23" s="17" t="s">
        <v>47</v>
      </c>
      <c r="B23" s="10" t="s">
        <v>46</v>
      </c>
      <c r="C23" s="10" t="s">
        <v>19</v>
      </c>
      <c r="D23" s="10">
        <v>0.0327</v>
      </c>
      <c r="E23" s="11">
        <f t="shared" si="1"/>
        <v>0.082404</v>
      </c>
      <c r="F23" s="10">
        <v>0.5665</v>
      </c>
      <c r="G23" s="10">
        <v>-2.2309</v>
      </c>
      <c r="H23" s="10">
        <v>45.7193</v>
      </c>
      <c r="I23" s="10">
        <v>0.52</v>
      </c>
      <c r="J23" s="12">
        <v>0.0065</v>
      </c>
      <c r="K23" s="10">
        <v>0.099</v>
      </c>
      <c r="L23" s="13">
        <v>-0.2563</v>
      </c>
      <c r="M23" s="10">
        <v>0.42</v>
      </c>
      <c r="N23" s="10">
        <v>0.35</v>
      </c>
      <c r="O23" s="14">
        <v>1.2</v>
      </c>
    </row>
    <row r="24">
      <c r="A24" s="2" t="s">
        <v>48</v>
      </c>
      <c r="B24" s="3" t="s">
        <v>49</v>
      </c>
      <c r="C24" s="3" t="s">
        <v>16</v>
      </c>
      <c r="D24" s="3">
        <v>0.0271</v>
      </c>
      <c r="E24" s="4">
        <f t="shared" si="1"/>
        <v>0.068292</v>
      </c>
      <c r="F24" s="3">
        <v>0.8598</v>
      </c>
      <c r="G24" s="3">
        <v>0.0696</v>
      </c>
      <c r="H24" s="3">
        <v>5.3074</v>
      </c>
      <c r="I24" s="3">
        <v>0.404</v>
      </c>
      <c r="J24" s="5">
        <v>0.0305</v>
      </c>
      <c r="K24" s="3">
        <v>0.325</v>
      </c>
      <c r="L24" s="6">
        <v>-0.2359</v>
      </c>
      <c r="M24" s="3">
        <v>0.71</v>
      </c>
      <c r="N24" s="3">
        <v>0.66</v>
      </c>
      <c r="O24" s="7">
        <v>1.08</v>
      </c>
    </row>
    <row r="25">
      <c r="A25" s="17" t="s">
        <v>50</v>
      </c>
      <c r="B25" s="10" t="s">
        <v>49</v>
      </c>
      <c r="C25" s="10" t="s">
        <v>19</v>
      </c>
      <c r="D25" s="10">
        <v>0.0186</v>
      </c>
      <c r="E25" s="11">
        <f t="shared" si="1"/>
        <v>0.046872</v>
      </c>
      <c r="F25" s="10">
        <v>0.6032</v>
      </c>
      <c r="G25" s="10">
        <v>-1.9017</v>
      </c>
      <c r="H25" s="10">
        <v>35.5394</v>
      </c>
      <c r="I25" s="10">
        <v>0.117</v>
      </c>
      <c r="J25" s="12">
        <v>-0.0398</v>
      </c>
      <c r="K25" s="10">
        <v>-0.709</v>
      </c>
      <c r="L25" s="13">
        <v>-0.2518</v>
      </c>
      <c r="M25" s="10">
        <v>0.59</v>
      </c>
      <c r="N25" s="10">
        <v>0.63</v>
      </c>
      <c r="O25" s="14">
        <v>0.94</v>
      </c>
    </row>
    <row r="26">
      <c r="A26" s="2" t="s">
        <v>51</v>
      </c>
      <c r="B26" s="3" t="s">
        <v>52</v>
      </c>
      <c r="C26" s="3" t="s">
        <v>16</v>
      </c>
      <c r="D26" s="3">
        <v>0.0107</v>
      </c>
      <c r="E26" s="4">
        <f t="shared" si="1"/>
        <v>0.026964</v>
      </c>
      <c r="F26" s="3">
        <v>1.0877</v>
      </c>
      <c r="G26" s="3">
        <v>0.2481</v>
      </c>
      <c r="H26" s="3">
        <v>6.8153</v>
      </c>
      <c r="I26" s="3">
        <v>0.079</v>
      </c>
      <c r="J26" s="5">
        <v>-0.0238</v>
      </c>
      <c r="K26" s="3">
        <v>-0.281</v>
      </c>
      <c r="L26" s="6">
        <v>-0.3527</v>
      </c>
      <c r="M26" s="3">
        <v>1.13</v>
      </c>
      <c r="N26" s="3">
        <v>1.16</v>
      </c>
      <c r="O26" s="7">
        <v>0.97</v>
      </c>
    </row>
    <row r="27">
      <c r="A27" s="9" t="s">
        <v>53</v>
      </c>
      <c r="B27" s="10" t="s">
        <v>52</v>
      </c>
      <c r="C27" s="10" t="s">
        <v>19</v>
      </c>
      <c r="D27" s="10">
        <v>0.0448</v>
      </c>
      <c r="E27" s="11">
        <f t="shared" si="1"/>
        <v>0.112896</v>
      </c>
      <c r="F27" s="10">
        <v>0.9073</v>
      </c>
      <c r="G27" s="10">
        <v>-1.3006</v>
      </c>
      <c r="H27" s="10">
        <v>17.8376</v>
      </c>
      <c r="I27" s="10">
        <v>0.537</v>
      </c>
      <c r="J27" s="12">
        <v>-0.0097</v>
      </c>
      <c r="K27" s="10">
        <v>-0.17</v>
      </c>
      <c r="L27" s="13">
        <v>-0.3118</v>
      </c>
      <c r="M27" s="10">
        <v>1.16</v>
      </c>
      <c r="N27" s="10">
        <v>1.2</v>
      </c>
      <c r="O27" s="14">
        <v>0.97</v>
      </c>
    </row>
    <row r="28">
      <c r="B28" s="15" t="s">
        <v>54</v>
      </c>
      <c r="C28" s="3" t="s">
        <v>16</v>
      </c>
      <c r="D28" s="22">
        <f t="shared" ref="D28:O28" si="2">AVERAGE(D6,D8,D10,D12,D14,D16,D18,D20,D22,D24,D26)</f>
        <v>0.01354545455</v>
      </c>
      <c r="E28" s="22">
        <f t="shared" si="2"/>
        <v>0.03413454545</v>
      </c>
      <c r="F28" s="22">
        <f t="shared" si="2"/>
        <v>1.030154545</v>
      </c>
      <c r="G28" s="22">
        <f t="shared" si="2"/>
        <v>0.1909545455</v>
      </c>
      <c r="H28" s="22">
        <f t="shared" si="2"/>
        <v>6.856327273</v>
      </c>
      <c r="I28" s="23">
        <f t="shared" si="2"/>
        <v>0.1423636364</v>
      </c>
      <c r="J28" s="23">
        <f t="shared" si="2"/>
        <v>-0.007881818182</v>
      </c>
      <c r="K28" s="22">
        <f t="shared" si="2"/>
        <v>-0.02672727273</v>
      </c>
      <c r="L28" s="22">
        <f t="shared" si="2"/>
        <v>-0.3378272727</v>
      </c>
      <c r="M28" s="24">
        <f t="shared" si="2"/>
        <v>0.8218181818</v>
      </c>
      <c r="N28" s="24">
        <f t="shared" si="2"/>
        <v>0.8290909091</v>
      </c>
      <c r="O28" s="24">
        <f t="shared" si="2"/>
        <v>0.9945454545</v>
      </c>
    </row>
    <row r="29">
      <c r="B29" s="25" t="s">
        <v>55</v>
      </c>
      <c r="C29" s="8" t="s">
        <v>19</v>
      </c>
      <c r="D29" s="26">
        <f t="shared" ref="D29:O29" si="3">AVERAGE(D7,D9,D11,D13,D15,D17,D19,D21,D23,D25,D27)</f>
        <v>0.03870909091</v>
      </c>
      <c r="E29" s="26">
        <f t="shared" si="3"/>
        <v>0.09754690909</v>
      </c>
      <c r="F29" s="26">
        <f t="shared" si="3"/>
        <v>0.8100727273</v>
      </c>
      <c r="G29" s="26">
        <f t="shared" si="3"/>
        <v>-2.2134</v>
      </c>
      <c r="H29" s="26">
        <f t="shared" si="3"/>
        <v>44.26788182</v>
      </c>
      <c r="I29" s="27">
        <f t="shared" si="3"/>
        <v>0.4385454545</v>
      </c>
      <c r="J29" s="27">
        <f t="shared" si="3"/>
        <v>-0.007590909091</v>
      </c>
      <c r="K29" s="26">
        <f t="shared" si="3"/>
        <v>-0.1824545455</v>
      </c>
      <c r="L29" s="26">
        <f t="shared" si="3"/>
        <v>-0.3307454545</v>
      </c>
      <c r="M29" s="28">
        <f t="shared" si="3"/>
        <v>0.8490909091</v>
      </c>
      <c r="N29" s="28">
        <f t="shared" si="3"/>
        <v>0.8436363636</v>
      </c>
      <c r="O29" s="28">
        <f t="shared" si="3"/>
        <v>1.019090909</v>
      </c>
    </row>
    <row r="30">
      <c r="B30" s="16" t="s">
        <v>56</v>
      </c>
      <c r="C30" s="13"/>
      <c r="D30" s="29">
        <f t="shared" ref="D30:O30" si="4">D29-D28</f>
        <v>0.02516363636</v>
      </c>
      <c r="E30" s="29">
        <f t="shared" si="4"/>
        <v>0.06341236364</v>
      </c>
      <c r="F30" s="29">
        <f t="shared" si="4"/>
        <v>-0.2200818182</v>
      </c>
      <c r="G30" s="29">
        <f t="shared" si="4"/>
        <v>-2.404354545</v>
      </c>
      <c r="H30" s="29">
        <f t="shared" si="4"/>
        <v>37.41155455</v>
      </c>
      <c r="I30" s="29">
        <f t="shared" si="4"/>
        <v>0.2961818182</v>
      </c>
      <c r="J30" s="30">
        <f t="shared" si="4"/>
        <v>0.0002909090909</v>
      </c>
      <c r="K30" s="29">
        <f t="shared" si="4"/>
        <v>-0.1557272727</v>
      </c>
      <c r="L30" s="29">
        <f t="shared" si="4"/>
        <v>0.007081818182</v>
      </c>
      <c r="M30" s="29">
        <f t="shared" si="4"/>
        <v>0.02727272727</v>
      </c>
      <c r="N30" s="29">
        <f t="shared" si="4"/>
        <v>0.01454545455</v>
      </c>
      <c r="O30" s="29">
        <f t="shared" si="4"/>
        <v>0.02454545455</v>
      </c>
    </row>
    <row r="42">
      <c r="A42" s="8" t="s">
        <v>57</v>
      </c>
    </row>
    <row r="43">
      <c r="A43" s="8" t="s">
        <v>58</v>
      </c>
      <c r="B43" s="8" t="s">
        <v>59</v>
      </c>
      <c r="C43" s="8" t="s">
        <v>60</v>
      </c>
      <c r="D43" s="8" t="s">
        <v>61</v>
      </c>
      <c r="F43" s="8" t="s">
        <v>62</v>
      </c>
      <c r="G43" s="8" t="s">
        <v>63</v>
      </c>
      <c r="H43" s="8" t="s">
        <v>64</v>
      </c>
      <c r="I43" s="8" t="s">
        <v>65</v>
      </c>
      <c r="J43" s="8" t="s">
        <v>66</v>
      </c>
      <c r="K43" s="8" t="s">
        <v>67</v>
      </c>
      <c r="L43" s="8" t="s">
        <v>68</v>
      </c>
      <c r="M43" s="8" t="s">
        <v>69</v>
      </c>
      <c r="N43" s="8" t="s">
        <v>70</v>
      </c>
      <c r="O43" s="8" t="s">
        <v>71</v>
      </c>
    </row>
    <row r="44">
      <c r="A44" s="31">
        <v>42629.0</v>
      </c>
      <c r="B44" s="8">
        <v>999.48</v>
      </c>
      <c r="C44" s="8">
        <v>1002.79</v>
      </c>
      <c r="D44" s="8">
        <v>1000.0</v>
      </c>
      <c r="F44" s="8">
        <v>1006.57</v>
      </c>
      <c r="G44" s="8">
        <v>994.53</v>
      </c>
      <c r="H44" s="8">
        <v>996.13</v>
      </c>
      <c r="I44" s="8">
        <v>995.99</v>
      </c>
      <c r="J44" s="8">
        <v>997.92</v>
      </c>
      <c r="K44" s="8">
        <v>995.63</v>
      </c>
      <c r="L44" s="8">
        <v>1008.39</v>
      </c>
      <c r="M44" s="8">
        <v>1001.67</v>
      </c>
      <c r="N44" s="8">
        <v>1001.28</v>
      </c>
      <c r="O44" s="8">
        <v>1000.03</v>
      </c>
    </row>
    <row r="45">
      <c r="A45" s="31">
        <v>42643.0</v>
      </c>
      <c r="B45" s="8">
        <v>998.51</v>
      </c>
      <c r="C45" s="8">
        <v>1000.81</v>
      </c>
      <c r="D45" s="8">
        <v>1000.0</v>
      </c>
      <c r="F45" s="8">
        <v>1025.66</v>
      </c>
      <c r="G45" s="8">
        <v>988.43</v>
      </c>
      <c r="H45" s="8">
        <v>1009.99</v>
      </c>
      <c r="I45" s="8">
        <v>993.66</v>
      </c>
      <c r="J45" s="8">
        <v>993.38</v>
      </c>
      <c r="K45" s="8">
        <v>1018.09</v>
      </c>
      <c r="L45" s="8">
        <v>986.23</v>
      </c>
      <c r="M45" s="8">
        <v>992.09</v>
      </c>
      <c r="N45" s="8">
        <v>1007.93</v>
      </c>
      <c r="O45" s="8">
        <v>1001.34</v>
      </c>
    </row>
    <row r="46">
      <c r="A46" s="31">
        <v>42825.0</v>
      </c>
      <c r="B46" s="8">
        <v>1052.7</v>
      </c>
      <c r="C46" s="8">
        <v>1030.09</v>
      </c>
      <c r="D46" s="8">
        <v>1000.0</v>
      </c>
      <c r="F46" s="8">
        <v>894.64</v>
      </c>
      <c r="G46" s="8">
        <v>1015.23</v>
      </c>
      <c r="H46" s="8">
        <v>1055.14</v>
      </c>
      <c r="I46" s="8">
        <v>1035.64</v>
      </c>
      <c r="J46" s="8">
        <v>1079.35</v>
      </c>
      <c r="K46" s="8">
        <v>1156.25</v>
      </c>
      <c r="L46" s="8">
        <v>1110.99</v>
      </c>
      <c r="M46" s="8">
        <v>1052.77</v>
      </c>
      <c r="N46" s="8">
        <v>1079.87</v>
      </c>
      <c r="O46" s="8">
        <v>1046.94</v>
      </c>
    </row>
    <row r="47">
      <c r="A47" s="31">
        <v>43008.0</v>
      </c>
      <c r="B47" s="8">
        <v>1043.96</v>
      </c>
      <c r="C47" s="8">
        <v>1045.23</v>
      </c>
      <c r="D47" s="8">
        <v>1000.0</v>
      </c>
      <c r="F47" s="8">
        <v>838.01</v>
      </c>
      <c r="G47" s="8">
        <v>1013.14</v>
      </c>
      <c r="H47" s="8">
        <v>1082.26</v>
      </c>
      <c r="I47" s="8">
        <v>1040.16</v>
      </c>
      <c r="J47" s="8">
        <v>1077.33</v>
      </c>
      <c r="K47" s="8">
        <v>1214.52</v>
      </c>
      <c r="L47" s="8">
        <v>1135.45</v>
      </c>
      <c r="M47" s="8">
        <v>1108.87</v>
      </c>
      <c r="N47" s="8">
        <v>1039.02</v>
      </c>
      <c r="O47" s="8">
        <v>1052.55</v>
      </c>
    </row>
    <row r="48">
      <c r="A48" s="31">
        <v>43190.0</v>
      </c>
      <c r="B48" s="8">
        <v>1000.77</v>
      </c>
      <c r="C48" s="8">
        <v>936.57</v>
      </c>
      <c r="D48" s="8">
        <v>1000.0</v>
      </c>
      <c r="F48" s="8">
        <v>805.87</v>
      </c>
      <c r="G48" s="8">
        <v>916.6</v>
      </c>
      <c r="H48" s="8">
        <v>1026.92</v>
      </c>
      <c r="I48" s="8">
        <v>1038.0</v>
      </c>
      <c r="J48" s="8">
        <v>1039.14</v>
      </c>
      <c r="K48" s="8">
        <v>1155.03</v>
      </c>
      <c r="L48" s="8">
        <v>1108.11</v>
      </c>
      <c r="M48" s="8">
        <v>1082.38</v>
      </c>
      <c r="N48" s="8">
        <v>1053.33</v>
      </c>
      <c r="O48" s="8">
        <v>1014.32</v>
      </c>
    </row>
    <row r="49">
      <c r="A49" s="31">
        <v>43373.0</v>
      </c>
      <c r="B49" s="8">
        <v>1053.58</v>
      </c>
      <c r="C49" s="8">
        <v>943.26</v>
      </c>
      <c r="D49" s="8">
        <v>938.41</v>
      </c>
      <c r="F49" s="8">
        <v>868.85</v>
      </c>
      <c r="G49" s="8">
        <v>876.07</v>
      </c>
      <c r="H49" s="8">
        <v>1061.75</v>
      </c>
      <c r="I49" s="8">
        <v>1146.2</v>
      </c>
      <c r="J49" s="8">
        <v>1084.54</v>
      </c>
      <c r="K49" s="8">
        <v>1236.11</v>
      </c>
      <c r="L49" s="8">
        <v>1176.29</v>
      </c>
      <c r="M49" s="8">
        <v>1221.53</v>
      </c>
      <c r="N49" s="8">
        <v>1102.41</v>
      </c>
      <c r="O49" s="8">
        <v>1059.07</v>
      </c>
    </row>
    <row r="50">
      <c r="A50" s="31">
        <v>43555.0</v>
      </c>
      <c r="B50" s="8">
        <v>979.61</v>
      </c>
      <c r="C50" s="8">
        <v>888.98</v>
      </c>
      <c r="D50" s="8">
        <v>816.47</v>
      </c>
      <c r="F50" s="8">
        <v>732.39</v>
      </c>
      <c r="G50" s="8">
        <v>859.8</v>
      </c>
      <c r="H50" s="8">
        <v>985.72</v>
      </c>
      <c r="I50" s="8">
        <v>1121.55</v>
      </c>
      <c r="J50" s="8">
        <v>1122.46</v>
      </c>
      <c r="K50" s="8">
        <v>1301.45</v>
      </c>
      <c r="L50" s="8">
        <v>1319.41</v>
      </c>
      <c r="M50" s="8">
        <v>1148.7</v>
      </c>
      <c r="N50" s="8">
        <v>1047.65</v>
      </c>
      <c r="O50" s="8">
        <v>1021.33</v>
      </c>
    </row>
    <row r="51">
      <c r="A51" s="31">
        <v>43738.0</v>
      </c>
      <c r="B51" s="8">
        <v>978.95</v>
      </c>
      <c r="C51" s="8">
        <v>940.02</v>
      </c>
      <c r="D51" s="8">
        <v>785.34</v>
      </c>
      <c r="F51" s="8">
        <v>619.15</v>
      </c>
      <c r="G51" s="8">
        <v>988.72</v>
      </c>
      <c r="H51" s="8">
        <v>1032.23</v>
      </c>
      <c r="I51" s="8">
        <v>1151.02</v>
      </c>
      <c r="J51" s="8">
        <v>1163.48</v>
      </c>
      <c r="K51" s="8">
        <v>1268.53</v>
      </c>
      <c r="L51" s="8">
        <v>1392.77</v>
      </c>
      <c r="M51" s="8">
        <v>1072.13</v>
      </c>
      <c r="N51" s="8">
        <v>1049.51</v>
      </c>
      <c r="O51" s="8">
        <v>1027.94</v>
      </c>
    </row>
    <row r="52">
      <c r="A52" s="31">
        <v>43921.0</v>
      </c>
      <c r="B52" s="8">
        <v>1069.2</v>
      </c>
      <c r="C52" s="8">
        <v>1062.93</v>
      </c>
      <c r="D52" s="8">
        <v>892.42</v>
      </c>
      <c r="F52" s="8">
        <v>437.62</v>
      </c>
      <c r="G52" s="8">
        <v>1131.95</v>
      </c>
      <c r="H52" s="8">
        <v>1066.86</v>
      </c>
      <c r="I52" s="8">
        <v>1445.53</v>
      </c>
      <c r="J52" s="8">
        <v>1285.19</v>
      </c>
      <c r="K52" s="8">
        <v>1275.07</v>
      </c>
      <c r="L52" s="8">
        <v>1526.97</v>
      </c>
      <c r="M52" s="8">
        <v>1274.83</v>
      </c>
      <c r="N52" s="8">
        <v>1088.75</v>
      </c>
      <c r="O52" s="8">
        <v>1103.75</v>
      </c>
    </row>
    <row r="53">
      <c r="A53" s="31">
        <v>44104.0</v>
      </c>
      <c r="B53" s="8">
        <v>1057.84</v>
      </c>
      <c r="C53" s="8">
        <v>1104.64</v>
      </c>
      <c r="D53" s="8">
        <v>925.63</v>
      </c>
      <c r="F53" s="8">
        <v>303.43</v>
      </c>
      <c r="G53" s="8">
        <v>930.97</v>
      </c>
      <c r="H53" s="8">
        <v>1023.04</v>
      </c>
      <c r="I53" s="8">
        <v>1496.38</v>
      </c>
      <c r="J53" s="8">
        <v>1269.22</v>
      </c>
      <c r="K53" s="8">
        <v>1169.33</v>
      </c>
      <c r="L53" s="8">
        <v>1414.98</v>
      </c>
      <c r="M53" s="8">
        <v>1180.97</v>
      </c>
      <c r="N53" s="8">
        <v>1129.07</v>
      </c>
      <c r="O53" s="8">
        <v>1044.98</v>
      </c>
    </row>
    <row r="54">
      <c r="A54" s="31">
        <v>44286.0</v>
      </c>
      <c r="B54" s="8">
        <v>1049.19</v>
      </c>
      <c r="C54" s="8">
        <v>1069.96</v>
      </c>
      <c r="D54" s="8">
        <v>928.58</v>
      </c>
      <c r="F54" s="8">
        <v>362.47</v>
      </c>
      <c r="G54" s="8">
        <v>991.57</v>
      </c>
      <c r="H54" s="8">
        <v>1023.51</v>
      </c>
      <c r="I54" s="8">
        <v>1396.21</v>
      </c>
      <c r="J54" s="8">
        <v>1260.37</v>
      </c>
      <c r="K54" s="8">
        <v>1105.7</v>
      </c>
      <c r="L54" s="8">
        <v>1390.38</v>
      </c>
      <c r="M54" s="8">
        <v>1088.66</v>
      </c>
      <c r="N54" s="8">
        <v>1044.08</v>
      </c>
      <c r="O54" s="8">
        <v>1039.89</v>
      </c>
    </row>
    <row r="55">
      <c r="A55" s="31">
        <v>44469.0</v>
      </c>
      <c r="B55" s="8">
        <v>1091.02</v>
      </c>
      <c r="C55" s="8">
        <v>978.28</v>
      </c>
      <c r="D55" s="8">
        <v>950.4</v>
      </c>
      <c r="F55" s="8">
        <v>349.54</v>
      </c>
      <c r="G55" s="8">
        <v>1017.05</v>
      </c>
      <c r="H55" s="8">
        <v>965.53</v>
      </c>
      <c r="I55" s="8">
        <v>1496.71</v>
      </c>
      <c r="J55" s="8">
        <v>1255.15</v>
      </c>
      <c r="K55" s="8">
        <v>1154.04</v>
      </c>
      <c r="L55" s="8">
        <v>1352.24</v>
      </c>
      <c r="M55" s="8">
        <v>1166.58</v>
      </c>
      <c r="N55" s="8">
        <v>1044.7</v>
      </c>
      <c r="O55" s="8">
        <v>1047.17</v>
      </c>
    </row>
    <row r="56">
      <c r="A56" s="31">
        <v>44651.0</v>
      </c>
      <c r="B56" s="8">
        <v>1118.71</v>
      </c>
      <c r="C56" s="8">
        <v>1074.91</v>
      </c>
      <c r="D56" s="8">
        <v>845.56</v>
      </c>
      <c r="F56" s="8">
        <v>485.8</v>
      </c>
      <c r="G56" s="8">
        <v>918.61</v>
      </c>
      <c r="H56" s="8">
        <v>976.71</v>
      </c>
      <c r="I56" s="8">
        <v>1593.0</v>
      </c>
      <c r="J56" s="8">
        <v>1379.01</v>
      </c>
      <c r="K56" s="8">
        <v>1149.95</v>
      </c>
      <c r="L56" s="8">
        <v>1537.29</v>
      </c>
      <c r="M56" s="8">
        <v>1293.61</v>
      </c>
      <c r="N56" s="8">
        <v>983.74</v>
      </c>
      <c r="O56" s="8">
        <v>1101.89</v>
      </c>
    </row>
    <row r="57">
      <c r="A57" s="31">
        <v>44834.0</v>
      </c>
      <c r="B57" s="8">
        <v>1042.53</v>
      </c>
      <c r="C57" s="8">
        <v>976.47</v>
      </c>
      <c r="D57" s="8">
        <v>757.03</v>
      </c>
      <c r="F57" s="8">
        <v>461.54</v>
      </c>
      <c r="G57" s="8">
        <v>833.4</v>
      </c>
      <c r="H57" s="8">
        <v>914.81</v>
      </c>
      <c r="I57" s="8">
        <v>1515.94</v>
      </c>
      <c r="J57" s="8">
        <v>1280.4</v>
      </c>
      <c r="K57" s="8">
        <v>932.2</v>
      </c>
      <c r="L57" s="8">
        <v>1344.66</v>
      </c>
      <c r="M57" s="8">
        <v>1263.22</v>
      </c>
      <c r="N57" s="8">
        <v>914.79</v>
      </c>
      <c r="O57" s="8">
        <v>1013.36</v>
      </c>
    </row>
    <row r="58">
      <c r="A58" s="31">
        <v>45016.0</v>
      </c>
      <c r="B58" s="8">
        <v>1183.15</v>
      </c>
      <c r="C58" s="8">
        <v>1142.51</v>
      </c>
      <c r="D58" s="8">
        <v>982.67</v>
      </c>
      <c r="F58" s="8">
        <v>525.81</v>
      </c>
      <c r="G58" s="8">
        <v>913.62</v>
      </c>
      <c r="H58" s="8">
        <v>1070.9</v>
      </c>
      <c r="I58" s="8">
        <v>1944.95</v>
      </c>
      <c r="J58" s="8">
        <v>1341.68</v>
      </c>
      <c r="K58" s="8">
        <v>961.61</v>
      </c>
      <c r="L58" s="8">
        <v>1389.03</v>
      </c>
      <c r="M58" s="8">
        <v>1361.56</v>
      </c>
      <c r="N58" s="8">
        <v>997.08</v>
      </c>
      <c r="O58" s="8">
        <v>1146.6</v>
      </c>
    </row>
    <row r="59">
      <c r="A59" s="31">
        <v>45199.0</v>
      </c>
      <c r="B59" s="8">
        <v>1203.91</v>
      </c>
      <c r="C59" s="8">
        <v>1143.32</v>
      </c>
      <c r="D59" s="8">
        <v>1076.03</v>
      </c>
      <c r="F59" s="8">
        <v>535.65</v>
      </c>
      <c r="G59" s="8">
        <v>958.01</v>
      </c>
      <c r="H59" s="8">
        <v>1105.1</v>
      </c>
      <c r="I59" s="8">
        <v>2083.96</v>
      </c>
      <c r="J59" s="8">
        <v>1273.19</v>
      </c>
      <c r="K59" s="8">
        <v>862.33</v>
      </c>
      <c r="L59" s="8">
        <v>1203.32</v>
      </c>
      <c r="M59" s="8">
        <v>1367.61</v>
      </c>
      <c r="N59" s="8">
        <v>1031.26</v>
      </c>
      <c r="O59" s="8">
        <v>1149.97</v>
      </c>
    </row>
    <row r="60">
      <c r="A60" s="31">
        <v>45382.0</v>
      </c>
      <c r="B60" s="8">
        <v>1358.2</v>
      </c>
      <c r="C60" s="8">
        <v>1315.48</v>
      </c>
      <c r="D60" s="8">
        <v>1213.21</v>
      </c>
      <c r="F60" s="8">
        <v>505.5</v>
      </c>
      <c r="G60" s="8">
        <v>1197.22</v>
      </c>
      <c r="H60" s="8">
        <v>1256.91</v>
      </c>
      <c r="I60" s="8">
        <v>2454.27</v>
      </c>
      <c r="J60" s="8">
        <v>1371.41</v>
      </c>
      <c r="K60" s="8">
        <v>950.81</v>
      </c>
      <c r="L60" s="8">
        <v>1304.78</v>
      </c>
      <c r="M60" s="8">
        <v>1505.43</v>
      </c>
      <c r="N60" s="8">
        <v>1171.54</v>
      </c>
      <c r="O60" s="8">
        <v>1285.53</v>
      </c>
    </row>
    <row r="61">
      <c r="A61" s="31">
        <v>45565.0</v>
      </c>
      <c r="B61" s="8">
        <v>1318.92</v>
      </c>
      <c r="C61" s="8">
        <v>1287.3</v>
      </c>
      <c r="D61" s="8">
        <v>1275.52</v>
      </c>
      <c r="F61" s="8">
        <v>453.2</v>
      </c>
      <c r="G61" s="8">
        <v>1170.67</v>
      </c>
      <c r="H61" s="8">
        <v>1168.03</v>
      </c>
      <c r="I61" s="8">
        <v>2188.26</v>
      </c>
      <c r="J61" s="8">
        <v>1455.0</v>
      </c>
      <c r="K61" s="8">
        <v>936.29</v>
      </c>
      <c r="L61" s="8">
        <v>1392.94</v>
      </c>
      <c r="M61" s="8">
        <v>1443.19</v>
      </c>
      <c r="N61" s="8">
        <v>1137.66</v>
      </c>
      <c r="O61" s="8">
        <v>1258.49</v>
      </c>
    </row>
    <row r="62">
      <c r="A62" s="31">
        <v>45747.0</v>
      </c>
      <c r="B62" s="8">
        <v>1253.15</v>
      </c>
      <c r="C62" s="8">
        <v>1128.62</v>
      </c>
      <c r="D62" s="8">
        <v>1268.65</v>
      </c>
      <c r="F62" s="8">
        <v>430.82</v>
      </c>
      <c r="G62" s="8">
        <v>1122.43</v>
      </c>
      <c r="H62" s="8">
        <v>1075.69</v>
      </c>
      <c r="I62" s="8">
        <v>2000.24</v>
      </c>
      <c r="J62" s="8">
        <v>1507.49</v>
      </c>
      <c r="K62" s="8">
        <v>884.0</v>
      </c>
      <c r="L62" s="8">
        <v>1350.41</v>
      </c>
      <c r="M62" s="8">
        <v>1504.46</v>
      </c>
      <c r="N62" s="8">
        <v>1050.66</v>
      </c>
      <c r="O62" s="8">
        <v>1205.79</v>
      </c>
    </row>
    <row r="63">
      <c r="A63" s="31">
        <v>45930.0</v>
      </c>
      <c r="B63" s="8">
        <v>1456.56</v>
      </c>
      <c r="C63" s="8">
        <v>1269.43</v>
      </c>
      <c r="D63" s="8">
        <v>1452.28</v>
      </c>
      <c r="F63" s="8">
        <v>439.8</v>
      </c>
      <c r="G63" s="8">
        <v>1305.71</v>
      </c>
      <c r="H63" s="8">
        <v>1256.92</v>
      </c>
      <c r="I63" s="8">
        <v>2498.93</v>
      </c>
      <c r="J63" s="8">
        <v>1521.06</v>
      </c>
      <c r="K63" s="8">
        <v>888.11</v>
      </c>
      <c r="L63" s="8">
        <v>1398.34</v>
      </c>
      <c r="M63" s="8">
        <v>1507.49</v>
      </c>
      <c r="N63" s="8">
        <v>1270.14</v>
      </c>
      <c r="O63" s="8">
        <v>1335.43</v>
      </c>
    </row>
    <row r="64">
      <c r="A64" s="31">
        <v>46112.0</v>
      </c>
      <c r="B64" s="8">
        <v>1375.34</v>
      </c>
      <c r="C64" s="8">
        <v>1398.96</v>
      </c>
      <c r="D64" s="8">
        <v>1363.15</v>
      </c>
      <c r="F64" s="8">
        <v>473.32</v>
      </c>
      <c r="G64" s="8">
        <v>1268.88</v>
      </c>
      <c r="H64" s="8">
        <v>1239.96</v>
      </c>
      <c r="I64" s="8">
        <v>2143.22</v>
      </c>
      <c r="J64" s="8">
        <v>1632.23</v>
      </c>
      <c r="K64" s="8">
        <v>849.67</v>
      </c>
      <c r="L64" s="8">
        <v>1262.69</v>
      </c>
      <c r="M64" s="8">
        <v>1738.99</v>
      </c>
      <c r="N64" s="8">
        <v>1180.46</v>
      </c>
      <c r="O64" s="8">
        <v>1322.75</v>
      </c>
    </row>
    <row r="65">
      <c r="A65" s="31">
        <v>46280.0</v>
      </c>
      <c r="B65" s="8">
        <v>1457.53</v>
      </c>
      <c r="C65" s="8">
        <v>1260.88</v>
      </c>
      <c r="D65" s="8">
        <v>1379.03</v>
      </c>
      <c r="F65" s="8">
        <v>539.14</v>
      </c>
      <c r="G65" s="8">
        <v>1338.8</v>
      </c>
      <c r="H65" s="8">
        <v>1086.66</v>
      </c>
      <c r="I65" s="8">
        <v>2431.6</v>
      </c>
      <c r="J65" s="8">
        <v>1602.51</v>
      </c>
      <c r="K65" s="8">
        <v>827.13</v>
      </c>
      <c r="L65" s="8">
        <v>1055.09</v>
      </c>
      <c r="M65" s="8">
        <v>1801.03</v>
      </c>
      <c r="N65" s="8">
        <v>1126.69</v>
      </c>
      <c r="O65" s="8">
        <v>1317.06</v>
      </c>
    </row>
    <row r="66">
      <c r="A66" s="31">
        <v>46295.0</v>
      </c>
      <c r="B66" s="8">
        <v>1457.53</v>
      </c>
      <c r="C66" s="8">
        <v>1260.88</v>
      </c>
      <c r="D66" s="8">
        <v>1379.03</v>
      </c>
      <c r="F66" s="8">
        <v>539.14</v>
      </c>
      <c r="G66" s="8">
        <v>1338.8</v>
      </c>
      <c r="H66" s="8">
        <v>1086.66</v>
      </c>
      <c r="I66" s="8">
        <v>2431.6</v>
      </c>
      <c r="J66" s="8">
        <v>1602.51</v>
      </c>
      <c r="K66" s="8">
        <v>827.13</v>
      </c>
      <c r="L66" s="8">
        <v>1055.09</v>
      </c>
      <c r="M66" s="8">
        <v>1801.03</v>
      </c>
      <c r="N66" s="8">
        <v>1126.69</v>
      </c>
      <c r="O66" s="8">
        <v>1317.06</v>
      </c>
    </row>
    <row r="67">
      <c r="A67" s="8" t="s">
        <v>72</v>
      </c>
      <c r="B67" s="32">
        <f t="shared" ref="B67:D67" si="5">(B66/B44)-1</f>
        <v>0.4582883099</v>
      </c>
      <c r="C67" s="32">
        <f t="shared" si="5"/>
        <v>0.2573719323</v>
      </c>
      <c r="D67" s="32">
        <f t="shared" si="5"/>
        <v>0.37903</v>
      </c>
      <c r="F67" s="32">
        <f t="shared" ref="F67:O67" si="6">(F66/F44)-1</f>
        <v>-0.4643790298</v>
      </c>
      <c r="G67" s="32">
        <f t="shared" si="6"/>
        <v>0.3461635144</v>
      </c>
      <c r="H67" s="32">
        <f t="shared" si="6"/>
        <v>0.09088171223</v>
      </c>
      <c r="I67" s="32">
        <f t="shared" si="6"/>
        <v>1.441389974</v>
      </c>
      <c r="J67" s="32">
        <f t="shared" si="6"/>
        <v>0.6058501684</v>
      </c>
      <c r="K67" s="32">
        <f t="shared" si="6"/>
        <v>-0.169239577</v>
      </c>
      <c r="L67" s="32">
        <f t="shared" si="6"/>
        <v>0.04631144696</v>
      </c>
      <c r="M67" s="32">
        <f t="shared" si="6"/>
        <v>0.7980272944</v>
      </c>
      <c r="N67" s="32">
        <f t="shared" si="6"/>
        <v>0.1252496804</v>
      </c>
      <c r="O67" s="32">
        <f t="shared" si="6"/>
        <v>0.3170204894</v>
      </c>
    </row>
    <row r="71">
      <c r="A71" s="8" t="s">
        <v>58</v>
      </c>
      <c r="B71" s="33" t="s">
        <v>73</v>
      </c>
      <c r="C71" s="33" t="s">
        <v>74</v>
      </c>
      <c r="D71" s="33" t="s">
        <v>75</v>
      </c>
      <c r="F71" s="33" t="s">
        <v>76</v>
      </c>
      <c r="G71" s="33" t="s">
        <v>77</v>
      </c>
      <c r="H71" s="33" t="s">
        <v>78</v>
      </c>
      <c r="I71" s="33" t="s">
        <v>79</v>
      </c>
      <c r="J71" s="33" t="s">
        <v>80</v>
      </c>
      <c r="K71" s="33" t="s">
        <v>81</v>
      </c>
      <c r="L71" s="33" t="s">
        <v>82</v>
      </c>
      <c r="M71" s="33" t="s">
        <v>83</v>
      </c>
      <c r="N71" s="33" t="s">
        <v>84</v>
      </c>
      <c r="O71" s="33" t="s">
        <v>85</v>
      </c>
    </row>
    <row r="72">
      <c r="A72" s="31">
        <v>42629.0</v>
      </c>
      <c r="B72" s="34">
        <v>1000.0</v>
      </c>
      <c r="C72" s="34">
        <v>1000.0</v>
      </c>
      <c r="D72" s="34">
        <v>1000.0</v>
      </c>
      <c r="F72" s="34">
        <v>1000.0</v>
      </c>
      <c r="G72" s="34">
        <v>1000.0</v>
      </c>
      <c r="H72" s="34">
        <v>1000.0</v>
      </c>
      <c r="I72" s="34">
        <v>1000.0</v>
      </c>
      <c r="J72" s="34">
        <v>1000.0</v>
      </c>
      <c r="K72" s="34">
        <v>1000.0</v>
      </c>
      <c r="L72" s="34">
        <v>1000.0</v>
      </c>
      <c r="M72" s="34">
        <v>1000.0</v>
      </c>
      <c r="N72" s="34">
        <v>1000.0</v>
      </c>
      <c r="O72" s="34">
        <v>1000.0</v>
      </c>
    </row>
    <row r="73">
      <c r="A73" s="31">
        <v>42643.0</v>
      </c>
      <c r="B73" s="34">
        <v>1014.72</v>
      </c>
      <c r="C73" s="34">
        <v>1023.19</v>
      </c>
      <c r="D73" s="34">
        <v>1000.0</v>
      </c>
      <c r="F73" s="34">
        <v>1027.36</v>
      </c>
      <c r="G73" s="34">
        <v>1012.06</v>
      </c>
      <c r="H73" s="34">
        <v>1017.12</v>
      </c>
      <c r="I73" s="34">
        <v>1014.44</v>
      </c>
      <c r="J73" s="34">
        <v>1012.56</v>
      </c>
      <c r="K73" s="34">
        <v>1004.3</v>
      </c>
      <c r="L73" s="34">
        <v>1016.87</v>
      </c>
      <c r="M73" s="34">
        <v>1009.66</v>
      </c>
      <c r="N73" s="34">
        <v>1012.76</v>
      </c>
      <c r="O73" s="34">
        <v>1013.76</v>
      </c>
    </row>
    <row r="74">
      <c r="A74" s="31">
        <v>42825.0</v>
      </c>
      <c r="B74" s="34">
        <v>1059.76</v>
      </c>
      <c r="C74" s="34">
        <v>1101.78</v>
      </c>
      <c r="D74" s="34">
        <v>1000.0</v>
      </c>
      <c r="F74" s="34">
        <v>1179.17</v>
      </c>
      <c r="G74" s="34">
        <v>1221.35</v>
      </c>
      <c r="H74" s="34">
        <v>1096.6</v>
      </c>
      <c r="I74" s="34">
        <v>1094.97</v>
      </c>
      <c r="J74" s="34">
        <v>968.1</v>
      </c>
      <c r="K74" s="34">
        <v>873.91</v>
      </c>
      <c r="L74" s="34">
        <v>961.83</v>
      </c>
      <c r="M74" s="34">
        <v>989.03</v>
      </c>
      <c r="N74" s="34">
        <v>1047.99</v>
      </c>
      <c r="O74" s="34">
        <v>1046.13</v>
      </c>
    </row>
    <row r="75">
      <c r="A75" s="31">
        <v>43008.0</v>
      </c>
      <c r="B75" s="34">
        <v>1150.08</v>
      </c>
      <c r="C75" s="34">
        <v>1188.66</v>
      </c>
      <c r="D75" s="34">
        <v>1000.0</v>
      </c>
      <c r="F75" s="34">
        <v>1258.12</v>
      </c>
      <c r="G75" s="34">
        <v>1344.41</v>
      </c>
      <c r="H75" s="34">
        <v>1177.61</v>
      </c>
      <c r="I75" s="34">
        <v>1217.83</v>
      </c>
      <c r="J75" s="34">
        <v>972.72</v>
      </c>
      <c r="K75" s="34">
        <v>862.08</v>
      </c>
      <c r="L75" s="34">
        <v>988.4</v>
      </c>
      <c r="M75" s="34">
        <v>1039.96</v>
      </c>
      <c r="N75" s="34">
        <v>1122.93</v>
      </c>
      <c r="O75" s="34">
        <v>1103.27</v>
      </c>
    </row>
    <row r="76">
      <c r="A76" s="31">
        <v>43190.0</v>
      </c>
      <c r="B76" s="34">
        <v>1268.12</v>
      </c>
      <c r="C76" s="34">
        <v>1341.46</v>
      </c>
      <c r="D76" s="34">
        <v>1000.0</v>
      </c>
      <c r="F76" s="34">
        <v>1305.66</v>
      </c>
      <c r="G76" s="34">
        <v>1597.42</v>
      </c>
      <c r="H76" s="34">
        <v>1310.9</v>
      </c>
      <c r="I76" s="34">
        <v>1360.15</v>
      </c>
      <c r="J76" s="34">
        <v>996.12</v>
      </c>
      <c r="K76" s="34">
        <v>888.7</v>
      </c>
      <c r="L76" s="34">
        <v>981.23</v>
      </c>
      <c r="M76" s="34">
        <v>1069.1</v>
      </c>
      <c r="N76" s="34">
        <v>1253.43</v>
      </c>
      <c r="O76" s="34">
        <v>1182.8</v>
      </c>
    </row>
    <row r="77">
      <c r="A77" s="31">
        <v>43373.0</v>
      </c>
      <c r="B77" s="34">
        <v>1342.79</v>
      </c>
      <c r="C77" s="34">
        <v>1367.89</v>
      </c>
      <c r="D77" s="34">
        <v>1053.46</v>
      </c>
      <c r="F77" s="34">
        <v>1379.28</v>
      </c>
      <c r="G77" s="34">
        <v>1686.62</v>
      </c>
      <c r="H77" s="34">
        <v>1349.89</v>
      </c>
      <c r="I77" s="34">
        <v>1428.19</v>
      </c>
      <c r="J77" s="34">
        <v>992.53</v>
      </c>
      <c r="K77" s="34">
        <v>888.0</v>
      </c>
      <c r="L77" s="34">
        <v>980.49</v>
      </c>
      <c r="M77" s="34">
        <v>1115.77</v>
      </c>
      <c r="N77" s="34">
        <v>1393.78</v>
      </c>
      <c r="O77" s="34">
        <v>1229.7</v>
      </c>
    </row>
    <row r="78">
      <c r="A78" s="31">
        <v>43555.0</v>
      </c>
      <c r="B78" s="34">
        <v>1417.66</v>
      </c>
      <c r="C78" s="34">
        <v>1405.62</v>
      </c>
      <c r="D78" s="34">
        <v>1161.5</v>
      </c>
      <c r="F78" s="34">
        <v>1453.11</v>
      </c>
      <c r="G78" s="34">
        <v>1620.24</v>
      </c>
      <c r="H78" s="34">
        <v>1408.19</v>
      </c>
      <c r="I78" s="34">
        <v>1444.68</v>
      </c>
      <c r="J78" s="34">
        <v>1012.41</v>
      </c>
      <c r="K78" s="34">
        <v>953.22</v>
      </c>
      <c r="L78" s="34">
        <v>981.21</v>
      </c>
      <c r="M78" s="34">
        <v>1153.59</v>
      </c>
      <c r="N78" s="34">
        <v>1434.92</v>
      </c>
      <c r="O78" s="34">
        <v>1272.47</v>
      </c>
    </row>
    <row r="79">
      <c r="A79" s="31">
        <v>43738.0</v>
      </c>
      <c r="B79" s="34">
        <v>1504.54</v>
      </c>
      <c r="C79" s="34">
        <v>1409.37</v>
      </c>
      <c r="D79" s="34">
        <v>1284.6</v>
      </c>
      <c r="F79" s="34">
        <v>1567.24</v>
      </c>
      <c r="G79" s="34">
        <v>1550.16</v>
      </c>
      <c r="H79" s="34">
        <v>1404.79</v>
      </c>
      <c r="I79" s="34">
        <v>1542.11</v>
      </c>
      <c r="J79" s="34">
        <v>1083.67</v>
      </c>
      <c r="K79" s="34">
        <v>1077.79</v>
      </c>
      <c r="L79" s="34">
        <v>1050.84</v>
      </c>
      <c r="M79" s="34">
        <v>1224.39</v>
      </c>
      <c r="N79" s="34">
        <v>1528.86</v>
      </c>
      <c r="O79" s="34">
        <v>1343.1</v>
      </c>
    </row>
    <row r="80">
      <c r="A80" s="31">
        <v>43921.0</v>
      </c>
      <c r="B80" s="34">
        <v>1209.37</v>
      </c>
      <c r="C80" s="34">
        <v>976.36</v>
      </c>
      <c r="D80" s="34">
        <v>1014.98</v>
      </c>
      <c r="F80" s="34">
        <v>1157.26</v>
      </c>
      <c r="G80" s="34">
        <v>1020.51</v>
      </c>
      <c r="H80" s="34">
        <v>1046.38</v>
      </c>
      <c r="I80" s="34">
        <v>1235.9</v>
      </c>
      <c r="J80" s="34">
        <v>882.19</v>
      </c>
      <c r="K80" s="34">
        <v>860.54</v>
      </c>
      <c r="L80" s="34">
        <v>835.04</v>
      </c>
      <c r="M80" s="34">
        <v>1027.78</v>
      </c>
      <c r="N80" s="34">
        <v>1207.33</v>
      </c>
      <c r="O80" s="34">
        <v>1037.15</v>
      </c>
    </row>
    <row r="81">
      <c r="A81" s="31">
        <v>44104.0</v>
      </c>
      <c r="B81" s="34">
        <v>1601.57</v>
      </c>
      <c r="C81" s="34">
        <v>1341.05</v>
      </c>
      <c r="D81" s="34">
        <v>1319.34</v>
      </c>
      <c r="F81" s="34">
        <v>1770.92</v>
      </c>
      <c r="G81" s="34">
        <v>1451.6</v>
      </c>
      <c r="H81" s="34">
        <v>1435.37</v>
      </c>
      <c r="I81" s="34">
        <v>1742.23</v>
      </c>
      <c r="J81" s="34">
        <v>1065.72</v>
      </c>
      <c r="K81" s="34">
        <v>1082.3</v>
      </c>
      <c r="L81" s="34">
        <v>982.13</v>
      </c>
      <c r="M81" s="34">
        <v>1332.0</v>
      </c>
      <c r="N81" s="34">
        <v>1752.46</v>
      </c>
      <c r="O81" s="34">
        <v>1392.59</v>
      </c>
    </row>
    <row r="82">
      <c r="A82" s="31">
        <v>44286.0</v>
      </c>
      <c r="B82" s="34">
        <v>1925.46</v>
      </c>
      <c r="C82" s="34">
        <v>1730.17</v>
      </c>
      <c r="D82" s="34">
        <v>1628.81</v>
      </c>
      <c r="F82" s="34">
        <v>2486.91</v>
      </c>
      <c r="G82" s="34">
        <v>1946.9</v>
      </c>
      <c r="H82" s="34">
        <v>1848.11</v>
      </c>
      <c r="I82" s="34">
        <v>2134.43</v>
      </c>
      <c r="J82" s="34">
        <v>1159.49</v>
      </c>
      <c r="K82" s="34">
        <v>1311.09</v>
      </c>
      <c r="L82" s="34">
        <v>1095.17</v>
      </c>
      <c r="M82" s="34">
        <v>1611.36</v>
      </c>
      <c r="N82" s="34">
        <v>2174.5</v>
      </c>
      <c r="O82" s="34">
        <v>1722.17</v>
      </c>
    </row>
    <row r="83">
      <c r="A83" s="31">
        <v>44469.0</v>
      </c>
      <c r="B83" s="34">
        <v>2017.92</v>
      </c>
      <c r="C83" s="34">
        <v>1916.36</v>
      </c>
      <c r="D83" s="34">
        <v>1744.89</v>
      </c>
      <c r="F83" s="34">
        <v>2799.75</v>
      </c>
      <c r="G83" s="34">
        <v>2109.49</v>
      </c>
      <c r="H83" s="34">
        <v>1959.42</v>
      </c>
      <c r="I83" s="34">
        <v>2246.67</v>
      </c>
      <c r="J83" s="34">
        <v>1188.33</v>
      </c>
      <c r="K83" s="34">
        <v>1431.08</v>
      </c>
      <c r="L83" s="34">
        <v>1140.54</v>
      </c>
      <c r="M83" s="34">
        <v>1651.95</v>
      </c>
      <c r="N83" s="34">
        <v>2327.29</v>
      </c>
      <c r="O83" s="34">
        <v>1837.9</v>
      </c>
    </row>
    <row r="84">
      <c r="A84" s="31">
        <v>44651.0</v>
      </c>
      <c r="B84" s="34">
        <v>2084.9</v>
      </c>
      <c r="C84" s="34">
        <v>1960.57</v>
      </c>
      <c r="D84" s="34">
        <v>1691.61</v>
      </c>
      <c r="F84" s="34">
        <v>3023.09</v>
      </c>
      <c r="G84" s="34">
        <v>2405.51</v>
      </c>
      <c r="H84" s="34">
        <v>2053.26</v>
      </c>
      <c r="I84" s="34">
        <v>2255.13</v>
      </c>
      <c r="J84" s="34">
        <v>1205.98</v>
      </c>
      <c r="K84" s="34">
        <v>1583.59</v>
      </c>
      <c r="L84" s="34">
        <v>1186.48</v>
      </c>
      <c r="M84" s="34">
        <v>1614.32</v>
      </c>
      <c r="N84" s="34">
        <v>2555.68</v>
      </c>
      <c r="O84" s="34">
        <v>1921.02</v>
      </c>
    </row>
    <row r="85">
      <c r="A85" s="31">
        <v>44834.0</v>
      </c>
      <c r="B85" s="34">
        <v>1784.27</v>
      </c>
      <c r="C85" s="34">
        <v>1686.15</v>
      </c>
      <c r="D85" s="34">
        <v>1321.55</v>
      </c>
      <c r="F85" s="34">
        <v>3064.7</v>
      </c>
      <c r="G85" s="34">
        <v>2122.99</v>
      </c>
      <c r="H85" s="34">
        <v>1779.68</v>
      </c>
      <c r="I85" s="34">
        <v>1780.09</v>
      </c>
      <c r="J85" s="34">
        <v>1158.15</v>
      </c>
      <c r="K85" s="34">
        <v>1480.9</v>
      </c>
      <c r="L85" s="34">
        <v>1211.1</v>
      </c>
      <c r="M85" s="34">
        <v>1473.53</v>
      </c>
      <c r="N85" s="34">
        <v>2125.54</v>
      </c>
      <c r="O85" s="34">
        <v>1711.63</v>
      </c>
    </row>
    <row r="86">
      <c r="A86" s="31">
        <v>45016.0</v>
      </c>
      <c r="B86" s="34">
        <v>1817.21</v>
      </c>
      <c r="C86" s="34">
        <v>1727.69</v>
      </c>
      <c r="D86" s="34">
        <v>1238.8</v>
      </c>
      <c r="F86" s="34">
        <v>3158.37</v>
      </c>
      <c r="G86" s="34">
        <v>2073.86</v>
      </c>
      <c r="H86" s="34">
        <v>1873.37</v>
      </c>
      <c r="I86" s="34">
        <v>1772.88</v>
      </c>
      <c r="J86" s="34">
        <v>1252.29</v>
      </c>
      <c r="K86" s="34">
        <v>1517.87</v>
      </c>
      <c r="L86" s="34">
        <v>1230.34</v>
      </c>
      <c r="M86" s="34">
        <v>1473.11</v>
      </c>
      <c r="N86" s="34">
        <v>2059.04</v>
      </c>
      <c r="O86" s="34">
        <v>1731.25</v>
      </c>
    </row>
    <row r="87">
      <c r="A87" s="31">
        <v>45199.0</v>
      </c>
      <c r="B87" s="34">
        <v>1878.32</v>
      </c>
      <c r="C87" s="34">
        <v>1697.7</v>
      </c>
      <c r="D87" s="34">
        <v>1284.91</v>
      </c>
      <c r="F87" s="34">
        <v>3438.28</v>
      </c>
      <c r="G87" s="34">
        <v>2058.84</v>
      </c>
      <c r="H87" s="34">
        <v>1833.71</v>
      </c>
      <c r="I87" s="34">
        <v>1803.79</v>
      </c>
      <c r="J87" s="34">
        <v>1232.36</v>
      </c>
      <c r="K87" s="34">
        <v>1570.0</v>
      </c>
      <c r="L87" s="34">
        <v>1256.47</v>
      </c>
      <c r="M87" s="34">
        <v>1470.45</v>
      </c>
      <c r="N87" s="34">
        <v>2151.22</v>
      </c>
      <c r="O87" s="34">
        <v>1763.06</v>
      </c>
    </row>
    <row r="88">
      <c r="A88" s="31">
        <v>45382.0</v>
      </c>
      <c r="B88" s="34">
        <v>2051.85</v>
      </c>
      <c r="C88" s="34">
        <v>1763.38</v>
      </c>
      <c r="D88" s="34">
        <v>1426.61</v>
      </c>
      <c r="F88" s="34">
        <v>3872.97</v>
      </c>
      <c r="G88" s="34">
        <v>2110.26</v>
      </c>
      <c r="H88" s="34">
        <v>2020.29</v>
      </c>
      <c r="I88" s="34">
        <v>1953.42</v>
      </c>
      <c r="J88" s="34">
        <v>1288.67</v>
      </c>
      <c r="K88" s="34">
        <v>1681.03</v>
      </c>
      <c r="L88" s="34">
        <v>1313.83</v>
      </c>
      <c r="M88" s="34">
        <v>1545.3</v>
      </c>
      <c r="N88" s="34">
        <v>2171.72</v>
      </c>
      <c r="O88" s="34">
        <v>1881.42</v>
      </c>
    </row>
    <row r="89">
      <c r="A89" s="31">
        <v>45565.0</v>
      </c>
      <c r="B89" s="34">
        <v>2332.34</v>
      </c>
      <c r="C89" s="34">
        <v>1886.99</v>
      </c>
      <c r="D89" s="34">
        <v>1510.69</v>
      </c>
      <c r="F89" s="34">
        <v>4083.23</v>
      </c>
      <c r="G89" s="34">
        <v>2339.75</v>
      </c>
      <c r="H89" s="34">
        <v>2353.31</v>
      </c>
      <c r="I89" s="34">
        <v>2383.31</v>
      </c>
      <c r="J89" s="34">
        <v>1337.29</v>
      </c>
      <c r="K89" s="34">
        <v>1962.33</v>
      </c>
      <c r="L89" s="34">
        <v>1536.86</v>
      </c>
      <c r="M89" s="34">
        <v>1693.45</v>
      </c>
      <c r="N89" s="34">
        <v>2447.1</v>
      </c>
      <c r="O89" s="34">
        <v>2102.91</v>
      </c>
    </row>
    <row r="90">
      <c r="A90" s="31">
        <v>45747.0</v>
      </c>
      <c r="B90" s="34">
        <v>2408.54</v>
      </c>
      <c r="C90" s="34">
        <v>1939.26</v>
      </c>
      <c r="D90" s="34">
        <v>1629.54</v>
      </c>
      <c r="F90" s="34">
        <v>4646.06</v>
      </c>
      <c r="G90" s="34">
        <v>2703.29</v>
      </c>
      <c r="H90" s="34">
        <v>2492.95</v>
      </c>
      <c r="I90" s="34">
        <v>2392.76</v>
      </c>
      <c r="J90" s="34">
        <v>1286.46</v>
      </c>
      <c r="K90" s="34">
        <v>1980.73</v>
      </c>
      <c r="L90" s="34">
        <v>1571.28</v>
      </c>
      <c r="M90" s="34">
        <v>1552.96</v>
      </c>
      <c r="N90" s="34">
        <v>2623.41</v>
      </c>
      <c r="O90" s="34">
        <v>2185.28</v>
      </c>
    </row>
    <row r="91">
      <c r="A91" s="31">
        <v>45930.0</v>
      </c>
      <c r="B91" s="34">
        <v>2481.93</v>
      </c>
      <c r="C91" s="34">
        <v>1814.87</v>
      </c>
      <c r="D91" s="34">
        <v>1757.36</v>
      </c>
      <c r="F91" s="34">
        <v>4423.8</v>
      </c>
      <c r="G91" s="34">
        <v>2530.16</v>
      </c>
      <c r="H91" s="34">
        <v>2528.52</v>
      </c>
      <c r="I91" s="34">
        <v>2622.17</v>
      </c>
      <c r="J91" s="34">
        <v>1240.32</v>
      </c>
      <c r="K91" s="34">
        <v>2018.0</v>
      </c>
      <c r="L91" s="34">
        <v>1701.34</v>
      </c>
      <c r="M91" s="34">
        <v>1491.08</v>
      </c>
      <c r="N91" s="34">
        <v>2643.9</v>
      </c>
      <c r="O91" s="34">
        <v>2199.19</v>
      </c>
    </row>
    <row r="92">
      <c r="A92" s="31">
        <v>46112.0</v>
      </c>
      <c r="B92" s="34">
        <v>2580.62</v>
      </c>
      <c r="C92" s="34">
        <v>1854.16</v>
      </c>
      <c r="D92" s="34">
        <v>1764.77</v>
      </c>
      <c r="F92" s="34">
        <v>5722.31</v>
      </c>
      <c r="G92" s="34">
        <v>2406.77</v>
      </c>
      <c r="H92" s="34">
        <v>2704.53</v>
      </c>
      <c r="I92" s="34">
        <v>2891.13</v>
      </c>
      <c r="J92" s="34">
        <v>1225.64</v>
      </c>
      <c r="K92" s="34">
        <v>2080.42</v>
      </c>
      <c r="L92" s="34">
        <v>2011.66</v>
      </c>
      <c r="M92" s="34">
        <v>1373.1</v>
      </c>
      <c r="N92" s="34">
        <v>2597.72</v>
      </c>
      <c r="O92" s="34">
        <v>2300.07</v>
      </c>
    </row>
    <row r="93">
      <c r="A93" s="31">
        <v>46280.0</v>
      </c>
      <c r="B93" s="34">
        <v>2843.24</v>
      </c>
      <c r="C93" s="34">
        <v>2096.3</v>
      </c>
      <c r="D93" s="34">
        <v>1799.0</v>
      </c>
      <c r="F93" s="34">
        <v>5445.75</v>
      </c>
      <c r="G93" s="34">
        <v>2635.87</v>
      </c>
      <c r="H93" s="34">
        <v>3229.87</v>
      </c>
      <c r="I93" s="34">
        <v>3527.28</v>
      </c>
      <c r="J93" s="34">
        <v>1283.86</v>
      </c>
      <c r="K93" s="34">
        <v>2274.12</v>
      </c>
      <c r="L93" s="34">
        <v>2181.57</v>
      </c>
      <c r="M93" s="34">
        <v>1522.84</v>
      </c>
      <c r="N93" s="34">
        <v>2774.65</v>
      </c>
      <c r="O93" s="34">
        <v>2516.4</v>
      </c>
    </row>
    <row r="94">
      <c r="A94" s="31">
        <v>46295.0</v>
      </c>
      <c r="B94" s="34">
        <v>2843.24</v>
      </c>
      <c r="C94" s="34">
        <v>2096.3</v>
      </c>
      <c r="D94" s="34">
        <v>1799.0</v>
      </c>
      <c r="F94" s="34">
        <v>5445.75</v>
      </c>
      <c r="G94" s="34">
        <v>2635.87</v>
      </c>
      <c r="H94" s="34">
        <v>3229.87</v>
      </c>
      <c r="I94" s="34">
        <v>3527.28</v>
      </c>
      <c r="J94" s="34">
        <v>1283.86</v>
      </c>
      <c r="K94" s="34">
        <v>2274.12</v>
      </c>
      <c r="L94" s="34">
        <v>2181.57</v>
      </c>
      <c r="M94" s="34">
        <v>1522.84</v>
      </c>
      <c r="N94" s="34">
        <v>2774.65</v>
      </c>
      <c r="O94" s="34">
        <v>2516.4</v>
      </c>
    </row>
    <row r="95">
      <c r="A95" s="8" t="s">
        <v>72</v>
      </c>
      <c r="B95" s="32">
        <f t="shared" ref="B95:D95" si="7">(B94/B72)-1</f>
        <v>1.84324</v>
      </c>
      <c r="C95" s="32">
        <f t="shared" si="7"/>
        <v>1.0963</v>
      </c>
      <c r="D95" s="32">
        <f t="shared" si="7"/>
        <v>0.799</v>
      </c>
      <c r="F95" s="32">
        <f t="shared" ref="F95:O95" si="8">(F94/F72)-1</f>
        <v>4.44575</v>
      </c>
      <c r="G95" s="32">
        <f t="shared" si="8"/>
        <v>1.63587</v>
      </c>
      <c r="H95" s="32">
        <f t="shared" si="8"/>
        <v>2.22987</v>
      </c>
      <c r="I95" s="32">
        <f t="shared" si="8"/>
        <v>2.52728</v>
      </c>
      <c r="J95" s="32">
        <f t="shared" si="8"/>
        <v>0.28386</v>
      </c>
      <c r="K95" s="32">
        <f t="shared" si="8"/>
        <v>1.27412</v>
      </c>
      <c r="L95" s="32">
        <f t="shared" si="8"/>
        <v>1.18157</v>
      </c>
      <c r="M95" s="32">
        <f t="shared" si="8"/>
        <v>0.52284</v>
      </c>
      <c r="N95" s="32">
        <f t="shared" si="8"/>
        <v>1.77465</v>
      </c>
      <c r="O95" s="32">
        <f t="shared" si="8"/>
        <v>1.5164</v>
      </c>
    </row>
    <row r="99">
      <c r="A99" s="8" t="s">
        <v>86</v>
      </c>
      <c r="B99" s="32">
        <f t="shared" ref="B99:D99" si="9">(B94/B66)-1</f>
        <v>0.9507248564</v>
      </c>
      <c r="C99" s="32">
        <f t="shared" si="9"/>
        <v>0.6625689994</v>
      </c>
      <c r="D99" s="32">
        <f t="shared" si="9"/>
        <v>0.3045401478</v>
      </c>
      <c r="F99" s="32">
        <f t="shared" ref="F99:O99" si="10">(F94/F66)-1</f>
        <v>9.100808695</v>
      </c>
      <c r="G99" s="32">
        <f t="shared" si="10"/>
        <v>0.9688302958</v>
      </c>
      <c r="H99" s="32">
        <f t="shared" si="10"/>
        <v>1.972291241</v>
      </c>
      <c r="I99" s="32">
        <f t="shared" si="10"/>
        <v>0.4506004277</v>
      </c>
      <c r="J99" s="32">
        <f t="shared" si="10"/>
        <v>-0.198844313</v>
      </c>
      <c r="K99" s="32">
        <f t="shared" si="10"/>
        <v>1.749410613</v>
      </c>
      <c r="L99" s="32">
        <f t="shared" si="10"/>
        <v>1.067662474</v>
      </c>
      <c r="M99" s="32">
        <f t="shared" si="10"/>
        <v>-0.1544616136</v>
      </c>
      <c r="N99" s="32">
        <f t="shared" si="10"/>
        <v>1.462656099</v>
      </c>
      <c r="O99" s="32">
        <f t="shared" si="10"/>
        <v>0.9106191062</v>
      </c>
    </row>
  </sheetData>
  <drawing r:id="rId1"/>
</worksheet>
</file>